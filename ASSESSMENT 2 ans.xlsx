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drawings/drawing2.xml" ContentType="application/vnd.openxmlformats-officedocument.drawing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nod\Downloads\"/>
    </mc:Choice>
  </mc:AlternateContent>
  <xr:revisionPtr revIDLastSave="0" documentId="13_ncr:1_{54BDA4B6-8879-44AE-8992-80112A5D3E0D}" xr6:coauthVersionLast="47" xr6:coauthVersionMax="47" xr10:uidLastSave="{00000000-0000-0000-0000-000000000000}"/>
  <bookViews>
    <workbookView xWindow="-120" yWindow="-120" windowWidth="20730" windowHeight="11160" tabRatio="688" firstSheet="1" activeTab="2" xr2:uid="{00000000-000D-0000-FFFF-FFFF00000000}"/>
  </bookViews>
  <sheets>
    <sheet name="Instructions 1 " sheetId="1" state="hidden" r:id="rId1"/>
    <sheet name="INSTRUCTIONS 2" sheetId="3" r:id="rId2"/>
    <sheet name="ASSINMENT  2" sheetId="5" r:id="rId3"/>
    <sheet name="EXPLINATION 2 " sheetId="6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M13" i="5"/>
  <c r="M4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M7" i="5"/>
</calcChain>
</file>

<file path=xl/sharedStrings.xml><?xml version="1.0" encoding="utf-8"?>
<sst xmlns="http://schemas.openxmlformats.org/spreadsheetml/2006/main" count="249" uniqueCount="154">
  <si>
    <t>Perform the following in the dataset from the 'Dataset' sheet.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</si>
  <si>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</si>
  <si>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</si>
  <si>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</si>
  <si>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</si>
  <si>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</si>
  <si>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</si>
  <si>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</si>
  <si>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</si>
  <si>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</si>
  <si>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</si>
  <si>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</si>
  <si>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</si>
  <si>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</si>
  <si>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</si>
  <si>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1) Sum, Count, Average: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</si>
  <si>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</si>
  <si>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</si>
  <si>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</si>
  <si>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</si>
  <si>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</si>
  <si>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</si>
  <si>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</si>
  <si>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</si>
  <si>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• What is the total price of all products in the dataset?</t>
  </si>
  <si>
    <t>03-MAR-US</t>
  </si>
  <si>
    <t>Coffee Maker</t>
  </si>
  <si>
    <t>Keurig</t>
  </si>
  <si>
    <t>Kitchen</t>
  </si>
  <si>
    <t>11-APR-US</t>
  </si>
  <si>
    <t>Smartphone</t>
  </si>
  <si>
    <t>Samsung</t>
  </si>
  <si>
    <t>ANS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</si>
  <si>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</si>
  <si>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</si>
  <si>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</si>
  <si>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</si>
  <si>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</si>
  <si>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</si>
  <si>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</si>
  <si>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</si>
  <si>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</si>
  <si>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</si>
  <si>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Q2</t>
  </si>
  <si>
    <t>• How many products are there in the dataset?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</si>
  <si>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</si>
  <si>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</si>
  <si>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</si>
  <si>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</si>
  <si>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</si>
  <si>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</si>
  <si>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</si>
  <si>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</si>
  <si>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</si>
  <si>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</si>
  <si>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</si>
  <si>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• Calculate the average price of the products.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</si>
  <si>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</si>
  <si>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</si>
  <si>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</si>
  <si>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</si>
  <si>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</si>
  <si>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</si>
  <si>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</si>
  <si>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</si>
  <si>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</si>
  <si>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</si>
  <si>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</si>
  <si>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</si>
  <si>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</si>
  <si>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</si>
  <si>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</si>
  <si>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</si>
  <si>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</si>
  <si>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</si>
  <si>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</si>
  <si>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Q1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</si>
  <si>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</si>
  <si>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</si>
  <si>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</si>
  <si>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</si>
  <si>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</si>
  <si>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</si>
  <si>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</si>
  <si>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</si>
  <si>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</si>
  <si>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</si>
  <si>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</si>
  <si>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</si>
  <si>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• Find the maximum price among all products.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</si>
  <si>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</si>
  <si>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</si>
  <si>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</si>
  <si>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</si>
  <si>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</si>
  <si>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</si>
  <si>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</si>
  <si>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</si>
  <si>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</si>
  <si>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</si>
  <si>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</si>
  <si>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</si>
  <si>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</si>
  <si>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</si>
  <si>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</si>
  <si>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</si>
  <si>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</si>
  <si>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</si>
  <si>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</si>
  <si>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</si>
  <si>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3) Removing Duplicates:</t>
  </si>
  <si>
    <t>4) Splitting and Merging Data:</t>
  </si>
  <si>
    <t>5) Number Formatting:</t>
  </si>
  <si>
    <t>6) Conditional Formatting: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</si>
  <si>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</si>
  <si>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</si>
  <si>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</si>
  <si>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</si>
  <si>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</si>
  <si>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</si>
  <si>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</si>
  <si>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• Identify any duplicate rows within the dataset based on the entirety of each row, and remove them if any.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</si>
  <si>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</si>
  <si>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</si>
  <si>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 xml:space="preserve">• Format the data type of the "Price" column to currency format. </t>
  </si>
  <si>
    <t xml:space="preserve">• Format the "Manufacturing Date" column to display dates in the "DD-MM-YYYY " format. 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</si>
  <si>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</si>
  <si>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</si>
  <si>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laptop</t>
  </si>
  <si>
    <t>smartphone</t>
  </si>
  <si>
    <t>headphones</t>
  </si>
  <si>
    <t xml:space="preserve">THISE IS RAW DATA </t>
  </si>
  <si>
    <t>STEP-1</t>
  </si>
  <si>
    <t>STEP-2</t>
  </si>
  <si>
    <r>
      <rPr>
        <b/>
        <sz val="10"/>
        <color rgb="FF000000"/>
        <rFont val="Arial"/>
        <family val="2"/>
        <scheme val="minor"/>
      </rPr>
      <t xml:space="preserve">I want to  creat a table formate  1 </t>
    </r>
    <r>
      <rPr>
        <b/>
        <sz val="16"/>
        <color rgb="FF00B050"/>
        <rFont val="Arial"/>
        <family val="2"/>
        <scheme val="minor"/>
      </rPr>
      <t>ctrl+A</t>
    </r>
    <r>
      <rPr>
        <b/>
        <sz val="10"/>
        <color rgb="FF000000"/>
        <rFont val="Arial"/>
        <family val="2"/>
        <scheme val="minor"/>
      </rPr>
      <t xml:space="preserve"> select all data I am using short cut key</t>
    </r>
    <r>
      <rPr>
        <b/>
        <sz val="15"/>
        <color rgb="FF000000"/>
        <rFont val="Arial"/>
        <family val="2"/>
        <scheme val="minor"/>
      </rPr>
      <t xml:space="preserve"> </t>
    </r>
    <r>
      <rPr>
        <b/>
        <sz val="15"/>
        <color rgb="FF00B050"/>
        <rFont val="Arial"/>
        <family val="2"/>
        <scheme val="minor"/>
      </rPr>
      <t xml:space="preserve">ctrl+T </t>
    </r>
  </si>
  <si>
    <t>STEP 3</t>
  </si>
  <si>
    <t>2) Min and Max:</t>
  </si>
  <si>
    <t>• Determine the minimum price among all products.</t>
  </si>
  <si>
    <t>3) IF Function:</t>
  </si>
  <si>
    <t>BLANKS</t>
  </si>
  <si>
    <t xml:space="preserve">AVARAGE </t>
  </si>
  <si>
    <t>PROPER CASE</t>
  </si>
  <si>
    <t xml:space="preserve">PROPER  - G COLOMNS </t>
  </si>
  <si>
    <t>select a data range</t>
  </si>
  <si>
    <t>I have  got a 3 duplicats remove this 3 duplicates</t>
  </si>
  <si>
    <t>SLIPT COUNTRY CODE</t>
  </si>
  <si>
    <t xml:space="preserve">FORMULAS </t>
  </si>
  <si>
    <t>FORMULA</t>
  </si>
  <si>
    <t>$=RIGHT(A2,2)</t>
  </si>
  <si>
    <t>$=LEFT(A2,FIND("-",A2,FIND("-",A2)+1)-1</t>
  </si>
  <si>
    <t>NUMS TO CURRENCY</t>
  </si>
  <si>
    <t>$=TEXT(D2,"$#,##0.00")</t>
  </si>
  <si>
    <t xml:space="preserve">DATE </t>
  </si>
  <si>
    <r>
      <rPr>
        <sz val="28"/>
        <color rgb="FF00B050"/>
        <rFont val="Arial"/>
        <family val="2"/>
        <scheme val="minor"/>
      </rPr>
      <t>COLOMN</t>
    </r>
    <r>
      <rPr>
        <sz val="10"/>
        <color rgb="FF000000"/>
        <rFont val="Arial"/>
        <family val="2"/>
        <scheme val="minor"/>
      </rPr>
      <t xml:space="preserve"> </t>
    </r>
    <r>
      <rPr>
        <sz val="36"/>
        <color rgb="FF7030A0"/>
        <rFont val="Arial"/>
        <family val="2"/>
        <scheme val="minor"/>
      </rPr>
      <t>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</si>
</sst>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6"/>
      <color rgb="FF000000"/>
      <name val="Arial"/>
      <family val="2"/>
      <scheme val="minor"/>
    </font>
    <font>
      <b/>
      <sz val="2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9"/>
      <color rgb="FF000000"/>
      <name val="Arial"/>
      <family val="2"/>
      <scheme val="minor"/>
    </font>
    <font>
      <b/>
      <sz val="15"/>
      <color rgb="FF000000"/>
      <name val="Arial"/>
      <family val="2"/>
      <scheme val="minor"/>
    </font>
    <font>
      <b/>
      <sz val="15"/>
      <color rgb="FF00B050"/>
      <name val="Arial"/>
      <family val="2"/>
      <scheme val="minor"/>
    </font>
    <font>
      <b/>
      <sz val="16"/>
      <color rgb="FF00B05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0"/>
      <color rgb="FF000000"/>
      <name val="Arial"/>
      <family val="2"/>
      <scheme val="minor"/>
    </font>
    <font>
      <sz val="28"/>
      <color rgb="FF00B050"/>
      <name val="Arial"/>
      <family val="2"/>
      <scheme val="minor"/>
    </font>
    <font>
      <sz val="36"/>
      <color rgb="FF7030A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E0F7FA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/>
    <xf numFmtId="0" fontId="15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5" borderId="0" xfId="0" applyFill="1"/>
    <xf numFmtId="0" fontId="0" fillId="4" borderId="0" xfId="0" applyFill="1"/>
    <xf numFmtId="0" fontId="0" fillId="0" borderId="1" xfId="0" applyBorder="1"/>
    <xf numFmtId="0" fontId="10" fillId="0" borderId="0" xfId="1"/>
    <xf numFmtId="0" fontId="1" fillId="0" borderId="0" xfId="1" applyFont="1"/>
    <xf numFmtId="0" fontId="2" fillId="0" borderId="0" xfId="1" applyFont="1"/>
    <xf numFmtId="0" fontId="3" fillId="0" borderId="0" xfId="1" applyFont="1"/>
    <xf numFmtId="0" fontId="4" fillId="0" borderId="0" xfId="1" applyFont="1"/>
    <xf numFmtId="0" fontId="6" fillId="0" borderId="0" xfId="1" applyFont="1"/>
    <xf numFmtId="0" fontId="5" fillId="2" borderId="0" xfId="1" applyFont="1" applyFill="1" applyAlignment="1">
      <alignment horizontal="center"/>
    </xf>
    <xf numFmtId="0" fontId="11" fillId="0" borderId="0" xfId="0" applyFont="1"/>
    <xf numFmtId="0" fontId="6" fillId="0" borderId="1" xfId="1" applyFont="1" applyBorder="1"/>
    <xf numFmtId="0" fontId="6" fillId="3" borderId="1" xfId="1" applyFont="1" applyFill="1" applyBorder="1"/>
    <xf numFmtId="0" fontId="16" fillId="0" borderId="0" xfId="2" applyFont="1"/>
    <xf numFmtId="0" fontId="17" fillId="0" borderId="0" xfId="2" applyFont="1"/>
    <xf numFmtId="0" fontId="15" fillId="0" borderId="0" xfId="2"/>
    <xf numFmtId="0" fontId="0" fillId="8" borderId="0" xfId="0" applyFill="1"/>
    <xf numFmtId="0" fontId="3" fillId="6" borderId="0" xfId="1" applyFont="1" applyFill="1" applyAlignment="1">
      <alignment wrapText="1"/>
    </xf>
    <xf numFmtId="0" fontId="6" fillId="3" borderId="2" xfId="1" applyFont="1" applyFill="1" applyBorder="1"/>
    <xf numFmtId="0" fontId="0" fillId="0" borderId="0" xfId="0" applyAlignment="1">
      <alignment horizontal="center"/>
    </xf>
    <xf numFmtId="0" fontId="0" fillId="8" borderId="1" xfId="0" applyFill="1" applyBorder="1"/>
    <xf numFmtId="0" fontId="6" fillId="12" borderId="0" xfId="1" applyFont="1" applyFill="1"/>
    <xf numFmtId="0" fontId="6" fillId="6" borderId="0" xfId="1" applyFont="1" applyFill="1"/>
    <xf numFmtId="0" fontId="5" fillId="2" borderId="0" xfId="1" applyFont="1" applyFill="1" applyAlignment="1">
      <alignment horizontal="center" wrapText="1"/>
    </xf>
    <xf numFmtId="0" fontId="6" fillId="3" borderId="8" xfId="1" applyFont="1" applyFill="1" applyBorder="1" applyAlignment="1">
      <alignment horizontal="center"/>
    </xf>
    <xf numFmtId="0" fontId="6" fillId="3" borderId="5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wrapText="1"/>
    </xf>
    <xf numFmtId="0" fontId="0" fillId="5" borderId="1" xfId="0" applyFill="1" applyBorder="1"/>
    <xf numFmtId="14" fontId="5" fillId="2" borderId="0" xfId="1" applyNumberFormat="1" applyFont="1" applyFill="1" applyAlignment="1">
      <alignment horizontal="center"/>
    </xf>
    <xf numFmtId="14" fontId="6" fillId="0" borderId="1" xfId="1" applyNumberFormat="1" applyFont="1" applyBorder="1"/>
    <xf numFmtId="14" fontId="6" fillId="3" borderId="1" xfId="1" applyNumberFormat="1" applyFont="1" applyFill="1" applyBorder="1"/>
    <xf numFmtId="14" fontId="0" fillId="0" borderId="0" xfId="0" applyNumberFormat="1"/>
    <xf numFmtId="0" fontId="0" fillId="0" borderId="9" xfId="0" applyBorder="1"/>
    <xf numFmtId="14" fontId="0" fillId="4" borderId="1" xfId="0" applyNumberFormat="1" applyFill="1" applyBorder="1"/>
    <xf numFmtId="14" fontId="0" fillId="5" borderId="0" xfId="0" applyNumberFormat="1" applyFill="1"/>
    <xf numFmtId="0" fontId="2" fillId="10" borderId="1" xfId="1" applyFont="1" applyFill="1" applyBorder="1" applyAlignment="1">
      <alignment horizontal="center"/>
    </xf>
    <xf numFmtId="0" fontId="2" fillId="10" borderId="3" xfId="1" applyFont="1" applyFill="1" applyBorder="1" applyAlignment="1">
      <alignment horizontal="center"/>
    </xf>
    <xf numFmtId="0" fontId="3" fillId="4" borderId="0" xfId="1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3" fillId="4" borderId="0" xfId="1" applyFont="1" applyFill="1" applyAlignment="1">
      <alignment horizontal="center" wrapText="1"/>
    </xf>
    <xf numFmtId="0" fontId="3" fillId="4" borderId="1" xfId="1" applyFont="1" applyFill="1" applyBorder="1" applyAlignment="1">
      <alignment horizontal="center" wrapText="1"/>
    </xf>
    <xf numFmtId="0" fontId="2" fillId="10" borderId="0" xfId="1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" fillId="14" borderId="0" xfId="1" applyFont="1" applyFill="1" applyAlignment="1">
      <alignment horizontal="center"/>
    </xf>
    <xf numFmtId="0" fontId="2" fillId="6" borderId="0" xfId="1" applyFont="1" applyFill="1" applyAlignment="1">
      <alignment horizontal="center"/>
    </xf>
    <xf numFmtId="0" fontId="2" fillId="11" borderId="5" xfId="1" applyFont="1" applyFill="1" applyBorder="1" applyAlignment="1">
      <alignment horizontal="center"/>
    </xf>
    <xf numFmtId="0" fontId="2" fillId="11" borderId="6" xfId="1" applyFont="1" applyFill="1" applyBorder="1" applyAlignment="1">
      <alignment horizontal="center"/>
    </xf>
    <xf numFmtId="0" fontId="2" fillId="11" borderId="7" xfId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2" fillId="11" borderId="0" xfId="1" applyFont="1" applyFill="1" applyAlignment="1">
      <alignment horizontal="center"/>
    </xf>
    <xf numFmtId="0" fontId="0" fillId="13" borderId="1" xfId="0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3" fillId="4" borderId="5" xfId="1" applyFont="1" applyFill="1" applyBorder="1" applyAlignment="1">
      <alignment horizontal="center" wrapText="1"/>
    </xf>
    <xf numFmtId="0" fontId="3" fillId="4" borderId="1" xfId="1" applyFont="1" applyFill="1" applyBorder="1" applyAlignment="1">
      <alignment horizontal="center"/>
    </xf>
    <xf numFmtId="0" fontId="2" fillId="11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9" borderId="1" xfId="0" applyFont="1" applyFill="1" applyBorder="1" applyAlignment="1">
      <alignment horizontal="center"/>
    </xf>
    <xf numFmtId="0" fontId="11" fillId="8" borderId="0" xfId="0" applyFont="1" applyFill="1" applyAlignment="1">
      <alignment horizontal="center" wrapText="1"/>
    </xf>
    <xf numFmtId="0" fontId="8" fillId="7" borderId="0" xfId="0" applyFont="1" applyFill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12" fillId="8" borderId="0" xfId="0" applyFont="1" applyFill="1" applyAlignment="1">
      <alignment horizontal="center" wrapText="1"/>
    </xf>
    <xf numFmtId="0" fontId="12" fillId="8" borderId="4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5" fontId="6" fillId="3" borderId="2" xfId="1" applyNumberFormat="1" applyFont="1" applyFill="1" applyBorder="1"/>
    <xf numFmtId="0" fontId="0" fillId="8" borderId="0" xfId="0" applyFill="1" applyAlignment="1">
      <alignment horizontal="center"/>
    </xf>
  </cellXfs>
  <cellStyles count="3">
    <cellStyle name="Normal" xfId="0" builtinId="0"/>
    <cellStyle name="Normal 2" xfId="1" xr:uid="{99F42569-D3A7-4A46-A224-AAE3FC7AE84C}"/>
    <cellStyle name="Normal 3" xfId="2" xr:uid="{84FCE9A2-A685-4437-ACFA-9DD19C0EF727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13" Type="http://schemas.openxmlformats.org/officeDocument/2006/relationships/image" Target="../media/image8.png"/><Relationship Id="rId18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customXml" Target="../ink/ink5.xml"/><Relationship Id="rId17" Type="http://schemas.openxmlformats.org/officeDocument/2006/relationships/customXml" Target="../ink/ink7.xml"/><Relationship Id="rId2" Type="http://schemas.openxmlformats.org/officeDocument/2006/relationships/image" Target="../media/image2.png"/><Relationship Id="rId16" Type="http://schemas.openxmlformats.org/officeDocument/2006/relationships/image" Target="../media/image10.png"/><Relationship Id="rId1" Type="http://schemas.openxmlformats.org/officeDocument/2006/relationships/image" Target="../media/image1.png"/><Relationship Id="rId6" Type="http://schemas.openxmlformats.org/officeDocument/2006/relationships/customXml" Target="../ink/ink2.xm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customXml" Target="../ink/ink6.xml"/><Relationship Id="rId10" Type="http://schemas.openxmlformats.org/officeDocument/2006/relationships/customXml" Target="../ink/ink4.xml"/><Relationship Id="rId19" Type="http://schemas.openxmlformats.org/officeDocument/2006/relationships/image" Target="../media/image12.png"/><Relationship Id="rId4" Type="http://schemas.openxmlformats.org/officeDocument/2006/relationships/customXml" Target="../ink/ink1.xml"/><Relationship Id="rId9" Type="http://schemas.openxmlformats.org/officeDocument/2006/relationships/image" Target="../media/image6.png"/><Relationship Id="rId14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130.png"/><Relationship Id="rId18" Type="http://schemas.openxmlformats.org/officeDocument/2006/relationships/image" Target="../media/image150.png"/><Relationship Id="rId26" Type="http://schemas.openxmlformats.org/officeDocument/2006/relationships/image" Target="../media/image19.png"/><Relationship Id="rId3" Type="http://schemas.openxmlformats.org/officeDocument/2006/relationships/image" Target="../media/image20.png"/><Relationship Id="rId21" Type="http://schemas.openxmlformats.org/officeDocument/2006/relationships/customXml" Target="../ink/ink15.xml"/><Relationship Id="rId7" Type="http://schemas.openxmlformats.org/officeDocument/2006/relationships/image" Target="../media/image15.png"/><Relationship Id="rId12" Type="http://schemas.openxmlformats.org/officeDocument/2006/relationships/customXml" Target="../ink/ink11.xml"/><Relationship Id="rId17" Type="http://schemas.openxmlformats.org/officeDocument/2006/relationships/customXml" Target="../ink/ink13.xml"/><Relationship Id="rId25" Type="http://schemas.openxmlformats.org/officeDocument/2006/relationships/customXml" Target="../ink/ink17.xml"/><Relationship Id="rId2" Type="http://schemas.openxmlformats.org/officeDocument/2006/relationships/customXml" Target="../ink/ink8.xml"/><Relationship Id="rId16" Type="http://schemas.openxmlformats.org/officeDocument/2006/relationships/image" Target="../media/image3.png"/><Relationship Id="rId20" Type="http://schemas.openxmlformats.org/officeDocument/2006/relationships/image" Target="../media/image160.png"/><Relationship Id="rId29" Type="http://schemas.openxmlformats.org/officeDocument/2006/relationships/image" Target="../media/image21.png"/><Relationship Id="rId1" Type="http://schemas.openxmlformats.org/officeDocument/2006/relationships/image" Target="../media/image13.png"/><Relationship Id="rId6" Type="http://schemas.openxmlformats.org/officeDocument/2006/relationships/image" Target="../media/image40.png"/><Relationship Id="rId11" Type="http://schemas.openxmlformats.org/officeDocument/2006/relationships/image" Target="../media/image120.png"/><Relationship Id="rId24" Type="http://schemas.openxmlformats.org/officeDocument/2006/relationships/image" Target="../media/image18.png"/><Relationship Id="rId5" Type="http://schemas.openxmlformats.org/officeDocument/2006/relationships/customXml" Target="../ink/ink9.xml"/><Relationship Id="rId15" Type="http://schemas.openxmlformats.org/officeDocument/2006/relationships/image" Target="../media/image140.png"/><Relationship Id="rId23" Type="http://schemas.openxmlformats.org/officeDocument/2006/relationships/customXml" Target="../ink/ink16.xml"/><Relationship Id="rId28" Type="http://schemas.openxmlformats.org/officeDocument/2006/relationships/customXml" Target="../ink/ink18.xml"/><Relationship Id="rId10" Type="http://schemas.openxmlformats.org/officeDocument/2006/relationships/customXml" Target="../ink/ink10.xml"/><Relationship Id="rId19" Type="http://schemas.openxmlformats.org/officeDocument/2006/relationships/customXml" Target="../ink/ink14.xml"/><Relationship Id="rId31" Type="http://schemas.openxmlformats.org/officeDocument/2006/relationships/image" Target="../media/image22.png"/><Relationship Id="rId4" Type="http://schemas.openxmlformats.org/officeDocument/2006/relationships/image" Target="../media/image14.png"/><Relationship Id="rId9" Type="http://schemas.openxmlformats.org/officeDocument/2006/relationships/image" Target="../media/image16.png"/><Relationship Id="rId14" Type="http://schemas.openxmlformats.org/officeDocument/2006/relationships/customXml" Target="../ink/ink12.xml"/><Relationship Id="rId22" Type="http://schemas.openxmlformats.org/officeDocument/2006/relationships/image" Target="../media/image170.png"/><Relationship Id="rId27" Type="http://schemas.openxmlformats.org/officeDocument/2006/relationships/image" Target="../media/image9.png"/><Relationship Id="rId30" Type="http://schemas.openxmlformats.org/officeDocument/2006/relationships/customXml" Target="../ink/ink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29</xdr:row>
      <xdr:rowOff>142876</xdr:rowOff>
    </xdr:from>
    <xdr:to>
      <xdr:col>15</xdr:col>
      <xdr:colOff>190500</xdr:colOff>
      <xdr:row>44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D2895C-FE40-10CF-5ADD-D9B07E3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5067301"/>
          <a:ext cx="2752725" cy="2362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4</xdr:col>
      <xdr:colOff>28574</xdr:colOff>
      <xdr:row>63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18D73B-6B28-43A9-9FCB-5452D96F2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29350"/>
          <a:ext cx="4257674" cy="45910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75</xdr:row>
      <xdr:rowOff>19049</xdr:rowOff>
    </xdr:from>
    <xdr:to>
      <xdr:col>10</xdr:col>
      <xdr:colOff>542925</xdr:colOff>
      <xdr:row>98</xdr:row>
      <xdr:rowOff>103767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AF5F73-A294-4D1A-94F7-64B8EE596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2839699"/>
          <a:ext cx="9420225" cy="3808993"/>
        </a:xfrm>
        <a:prstGeom prst="rect">
          <a:avLst/>
        </a:prstGeom>
      </xdr:spPr>
    </xdr:pic>
    <xdr:clientData/>
  </xdr:twoCellAnchor>
  <xdr:twoCellAnchor editAs="oneCell">
    <xdr:from>
      <xdr:col>12</xdr:col>
      <xdr:colOff>56610</xdr:colOff>
      <xdr:row>105</xdr:row>
      <xdr:rowOff>14895</xdr:rowOff>
    </xdr:from>
    <xdr:to>
      <xdr:col>12</xdr:col>
      <xdr:colOff>56970</xdr:colOff>
      <xdr:row>105</xdr:row>
      <xdr:rowOff>19215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B6EBCBFA-A372-4681-A943-3E717D29AC6E}"/>
                </a:ext>
              </a:extLst>
            </xdr14:cNvPr>
            <xdr14:cNvContentPartPr/>
          </xdr14:nvContentPartPr>
          <xdr14:nvPr macro=""/>
          <xdr14:xfrm>
            <a:off x="6971760" y="33133320"/>
            <a:ext cx="360" cy="43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B6EBCBFA-A372-4681-A943-3E717D29AC6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909120" y="33070320"/>
              <a:ext cx="126000" cy="12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571290</xdr:colOff>
      <xdr:row>89</xdr:row>
      <xdr:rowOff>28455</xdr:rowOff>
    </xdr:from>
    <xdr:to>
      <xdr:col>11</xdr:col>
      <xdr:colOff>599970</xdr:colOff>
      <xdr:row>89</xdr:row>
      <xdr:rowOff>47535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12D5A85E-A868-4A97-8046-5F9EF1EA2A99}"/>
                </a:ext>
              </a:extLst>
            </xdr14:cNvPr>
            <xdr14:cNvContentPartPr/>
          </xdr14:nvContentPartPr>
          <xdr14:nvPr macro=""/>
          <xdr14:xfrm>
            <a:off x="6267240" y="30556080"/>
            <a:ext cx="638280" cy="190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12D5A85E-A868-4A97-8046-5F9EF1EA2A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204240" y="30493080"/>
              <a:ext cx="76392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552570</xdr:colOff>
      <xdr:row>87</xdr:row>
      <xdr:rowOff>66465</xdr:rowOff>
    </xdr:from>
    <xdr:to>
      <xdr:col>11</xdr:col>
      <xdr:colOff>193170</xdr:colOff>
      <xdr:row>90</xdr:row>
      <xdr:rowOff>51930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9493F8C1-9921-45D3-A98B-E4AD930CFA2B}"/>
                </a:ext>
              </a:extLst>
            </xdr14:cNvPr>
            <xdr14:cNvContentPartPr/>
          </xdr14:nvContentPartPr>
          <xdr14:nvPr macro=""/>
          <xdr14:xfrm>
            <a:off x="6248520" y="30270240"/>
            <a:ext cx="250200" cy="4712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9493F8C1-9921-45D3-A98B-E4AD930CFA2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185611" y="30207240"/>
              <a:ext cx="375659" cy="59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599610</xdr:colOff>
      <xdr:row>95</xdr:row>
      <xdr:rowOff>18825</xdr:rowOff>
    </xdr:from>
    <xdr:to>
      <xdr:col>8</xdr:col>
      <xdr:colOff>619050</xdr:colOff>
      <xdr:row>100</xdr:row>
      <xdr:rowOff>123960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DDF7310A-F5C0-49C7-BE3F-8E214E0C2CEC}"/>
                </a:ext>
              </a:extLst>
            </xdr14:cNvPr>
            <xdr14:cNvContentPartPr/>
          </xdr14:nvContentPartPr>
          <xdr14:nvPr macro=""/>
          <xdr14:xfrm>
            <a:off x="5076360" y="31518000"/>
            <a:ext cx="19440" cy="9147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DDF7310A-F5C0-49C7-BE3F-8E214E0C2CE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013360" y="31455000"/>
              <a:ext cx="145080" cy="10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409890</xdr:colOff>
      <xdr:row>94</xdr:row>
      <xdr:rowOff>133230</xdr:rowOff>
    </xdr:from>
    <xdr:to>
      <xdr:col>8</xdr:col>
      <xdr:colOff>818850</xdr:colOff>
      <xdr:row>96</xdr:row>
      <xdr:rowOff>115380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53E269D6-5845-43E6-9036-7F3C3DCBB2E0}"/>
                </a:ext>
              </a:extLst>
            </xdr14:cNvPr>
            <xdr14:cNvContentPartPr/>
          </xdr14:nvContentPartPr>
          <xdr14:nvPr macro=""/>
          <xdr14:xfrm>
            <a:off x="4886640" y="31470480"/>
            <a:ext cx="408960" cy="3060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53E269D6-5845-43E6-9036-7F3C3DCBB2E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823640" y="31407480"/>
              <a:ext cx="534600" cy="43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113</xdr:row>
      <xdr:rowOff>19050</xdr:rowOff>
    </xdr:from>
    <xdr:to>
      <xdr:col>5</xdr:col>
      <xdr:colOff>839633</xdr:colOff>
      <xdr:row>133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6B8270-7858-4165-B1A5-D484DB739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509075"/>
          <a:ext cx="5945033" cy="3343275"/>
        </a:xfrm>
        <a:prstGeom prst="rect">
          <a:avLst/>
        </a:prstGeom>
      </xdr:spPr>
    </xdr:pic>
    <xdr:clientData/>
  </xdr:twoCellAnchor>
  <xdr:twoCellAnchor editAs="oneCell">
    <xdr:from>
      <xdr:col>6</xdr:col>
      <xdr:colOff>380550</xdr:colOff>
      <xdr:row>129</xdr:row>
      <xdr:rowOff>141975</xdr:rowOff>
    </xdr:from>
    <xdr:to>
      <xdr:col>8</xdr:col>
      <xdr:colOff>814815</xdr:colOff>
      <xdr:row>130</xdr:row>
      <xdr:rowOff>19290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A0D629C-5B66-4C51-922E-2E8D8A65936D}"/>
                </a:ext>
              </a:extLst>
            </xdr14:cNvPr>
            <xdr14:cNvContentPartPr/>
          </xdr14:nvContentPartPr>
          <xdr14:nvPr macro=""/>
          <xdr14:xfrm>
            <a:off x="6400350" y="21782775"/>
            <a:ext cx="2444040" cy="392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A0D629C-5B66-4C51-922E-2E8D8A65936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337710" y="21719775"/>
              <a:ext cx="256968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142005</xdr:colOff>
      <xdr:row>128</xdr:row>
      <xdr:rowOff>47415</xdr:rowOff>
    </xdr:from>
    <xdr:to>
      <xdr:col>6</xdr:col>
      <xdr:colOff>737445</xdr:colOff>
      <xdr:row>131</xdr:row>
      <xdr:rowOff>116040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F2CDA169-0811-4283-95B6-21AF6528D4E0}"/>
                </a:ext>
              </a:extLst>
            </xdr14:cNvPr>
            <xdr14:cNvContentPartPr/>
          </xdr14:nvContentPartPr>
          <xdr14:nvPr macro=""/>
          <xdr14:xfrm>
            <a:off x="6161805" y="21526290"/>
            <a:ext cx="595440" cy="5544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2CDA169-0811-4283-95B6-21AF6528D4E0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6099165" y="21463290"/>
              <a:ext cx="721080" cy="68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164</xdr:row>
      <xdr:rowOff>19051</xdr:rowOff>
    </xdr:from>
    <xdr:to>
      <xdr:col>6</xdr:col>
      <xdr:colOff>537284</xdr:colOff>
      <xdr:row>192</xdr:row>
      <xdr:rowOff>38100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A0B24DE-336B-FA1A-5330-BF266B6E4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441526"/>
          <a:ext cx="6557084" cy="4552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2</xdr:row>
      <xdr:rowOff>85725</xdr:rowOff>
    </xdr:from>
    <xdr:to>
      <xdr:col>6</xdr:col>
      <xdr:colOff>548221</xdr:colOff>
      <xdr:row>34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B50D48-A2C6-CB3B-9029-42D67D14C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409575"/>
          <a:ext cx="4320121" cy="5229225"/>
        </a:xfrm>
        <a:prstGeom prst="rect">
          <a:avLst/>
        </a:prstGeom>
      </xdr:spPr>
    </xdr:pic>
    <xdr:clientData/>
  </xdr:twoCellAnchor>
  <xdr:twoCellAnchor editAs="oneCell">
    <xdr:from>
      <xdr:col>7</xdr:col>
      <xdr:colOff>275940</xdr:colOff>
      <xdr:row>18</xdr:row>
      <xdr:rowOff>56910</xdr:rowOff>
    </xdr:from>
    <xdr:to>
      <xdr:col>12</xdr:col>
      <xdr:colOff>161925</xdr:colOff>
      <xdr:row>27</xdr:row>
      <xdr:rowOff>39576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BF8CF26-F67D-F542-B371-743AB5A5E75A}"/>
                </a:ext>
              </a:extLst>
            </xdr14:cNvPr>
            <xdr14:cNvContentPartPr/>
          </xdr14:nvContentPartPr>
          <xdr14:nvPr macro=""/>
          <xdr14:xfrm>
            <a:off x="4543140" y="2971560"/>
            <a:ext cx="2933985" cy="1439991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BF8CF26-F67D-F542-B371-743AB5A5E75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365315" y="2273010"/>
              <a:ext cx="4254120" cy="225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28575</xdr:colOff>
      <xdr:row>39</xdr:row>
      <xdr:rowOff>28574</xdr:rowOff>
    </xdr:from>
    <xdr:to>
      <xdr:col>7</xdr:col>
      <xdr:colOff>296172</xdr:colOff>
      <xdr:row>57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99D0C4-3F6B-56E5-5CD6-B1F60F67B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43649"/>
          <a:ext cx="4744347" cy="3124201"/>
        </a:xfrm>
        <a:prstGeom prst="rect">
          <a:avLst/>
        </a:prstGeom>
      </xdr:spPr>
    </xdr:pic>
    <xdr:clientData/>
  </xdr:twoCellAnchor>
  <xdr:twoCellAnchor editAs="oneCell">
    <xdr:from>
      <xdr:col>9</xdr:col>
      <xdr:colOff>421920</xdr:colOff>
      <xdr:row>50</xdr:row>
      <xdr:rowOff>98475</xdr:rowOff>
    </xdr:from>
    <xdr:to>
      <xdr:col>13</xdr:col>
      <xdr:colOff>514320</xdr:colOff>
      <xdr:row>54</xdr:row>
      <xdr:rowOff>148095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04FBB7E0-EC5D-02AE-18D9-7D54BB30F45C}"/>
                </a:ext>
              </a:extLst>
            </xdr14:cNvPr>
            <xdr14:cNvContentPartPr/>
          </xdr14:nvContentPartPr>
          <xdr14:nvPr macro=""/>
          <xdr14:xfrm>
            <a:off x="5908320" y="8194725"/>
            <a:ext cx="2530800" cy="6973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4FBB7E0-EC5D-02AE-18D9-7D54BB30F45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845671" y="8132085"/>
              <a:ext cx="2656458" cy="82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58</xdr:row>
      <xdr:rowOff>47625</xdr:rowOff>
    </xdr:from>
    <xdr:to>
      <xdr:col>6</xdr:col>
      <xdr:colOff>314325</xdr:colOff>
      <xdr:row>80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7DA687E-4BF3-2983-FB84-5225CB83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00"/>
          <a:ext cx="4181475" cy="3667125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113</xdr:row>
      <xdr:rowOff>142876</xdr:rowOff>
    </xdr:from>
    <xdr:to>
      <xdr:col>5</xdr:col>
      <xdr:colOff>85725</xdr:colOff>
      <xdr:row>128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EF0D0E-880C-4AA9-870A-A20E67DE4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5067301"/>
          <a:ext cx="2752725" cy="23622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132</xdr:row>
      <xdr:rowOff>76200</xdr:rowOff>
    </xdr:from>
    <xdr:to>
      <xdr:col>6</xdr:col>
      <xdr:colOff>390525</xdr:colOff>
      <xdr:row>160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DA9D65-84C9-CC81-B8D0-578F04582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1783675"/>
          <a:ext cx="4257674" cy="4591050"/>
        </a:xfrm>
        <a:prstGeom prst="rect">
          <a:avLst/>
        </a:prstGeom>
      </xdr:spPr>
    </xdr:pic>
    <xdr:clientData/>
  </xdr:twoCellAnchor>
  <xdr:twoCellAnchor editAs="oneCell">
    <xdr:from>
      <xdr:col>8</xdr:col>
      <xdr:colOff>156690</xdr:colOff>
      <xdr:row>147</xdr:row>
      <xdr:rowOff>18885</xdr:rowOff>
    </xdr:from>
    <xdr:to>
      <xdr:col>9</xdr:col>
      <xdr:colOff>18690</xdr:colOff>
      <xdr:row>150</xdr:row>
      <xdr:rowOff>4710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61EBCFA-B58E-C825-3A47-8FDDAA5D8343}"/>
                </a:ext>
              </a:extLst>
            </xdr14:cNvPr>
            <xdr14:cNvContentPartPr/>
          </xdr14:nvContentPartPr>
          <xdr14:nvPr macro=""/>
          <xdr14:xfrm>
            <a:off x="5243040" y="24155235"/>
            <a:ext cx="471600" cy="4716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561EBCFA-B58E-C825-3A47-8FDDAA5D834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180400" y="24092235"/>
              <a:ext cx="597240" cy="59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152010</xdr:colOff>
      <xdr:row>150</xdr:row>
      <xdr:rowOff>75990</xdr:rowOff>
    </xdr:from>
    <xdr:to>
      <xdr:col>9</xdr:col>
      <xdr:colOff>65130</xdr:colOff>
      <xdr:row>152</xdr:row>
      <xdr:rowOff>118980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4CFCA3C-70D8-37A5-6C55-7005741F7CF7}"/>
                </a:ext>
              </a:extLst>
            </xdr14:cNvPr>
            <xdr14:cNvContentPartPr/>
          </xdr14:nvContentPartPr>
          <xdr14:nvPr macro=""/>
          <xdr14:xfrm>
            <a:off x="5238360" y="24698115"/>
            <a:ext cx="522720" cy="3668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34CFCA3C-70D8-37A5-6C55-7005741F7CF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175720" y="24635115"/>
              <a:ext cx="648360" cy="49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209175</xdr:colOff>
      <xdr:row>149</xdr:row>
      <xdr:rowOff>27645</xdr:rowOff>
    </xdr:from>
    <xdr:to>
      <xdr:col>11</xdr:col>
      <xdr:colOff>141495</xdr:colOff>
      <xdr:row>150</xdr:row>
      <xdr:rowOff>66960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FCE39359-FA47-CD56-FB49-99560546D592}"/>
                </a:ext>
              </a:extLst>
            </xdr14:cNvPr>
            <xdr14:cNvContentPartPr/>
          </xdr14:nvContentPartPr>
          <xdr14:nvPr macro=""/>
          <xdr14:xfrm>
            <a:off x="5295525" y="24487845"/>
            <a:ext cx="1761120" cy="2012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CE39359-FA47-CD56-FB49-99560546D59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232885" y="24425205"/>
              <a:ext cx="1886760" cy="32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47625</xdr:colOff>
      <xdr:row>172</xdr:row>
      <xdr:rowOff>19049</xdr:rowOff>
    </xdr:from>
    <xdr:to>
      <xdr:col>9</xdr:col>
      <xdr:colOff>514350</xdr:colOff>
      <xdr:row>192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9EE43D1-2D08-EC17-0B66-7A495BE4B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8279724"/>
          <a:ext cx="6162675" cy="3219451"/>
        </a:xfrm>
        <a:prstGeom prst="rect">
          <a:avLst/>
        </a:prstGeom>
      </xdr:spPr>
    </xdr:pic>
    <xdr:clientData/>
  </xdr:twoCellAnchor>
  <xdr:twoCellAnchor editAs="oneCell">
    <xdr:from>
      <xdr:col>11</xdr:col>
      <xdr:colOff>56610</xdr:colOff>
      <xdr:row>202</xdr:row>
      <xdr:rowOff>14895</xdr:rowOff>
    </xdr:from>
    <xdr:to>
      <xdr:col>11</xdr:col>
      <xdr:colOff>56970</xdr:colOff>
      <xdr:row>202</xdr:row>
      <xdr:rowOff>19215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F6CDC8A-C375-308B-6DE4-AA4D3ADE75FE}"/>
                </a:ext>
              </a:extLst>
            </xdr14:cNvPr>
            <xdr14:cNvContentPartPr/>
          </xdr14:nvContentPartPr>
          <xdr14:nvPr macro=""/>
          <xdr14:xfrm>
            <a:off x="6971760" y="33133320"/>
            <a:ext cx="360" cy="43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F6CDC8A-C375-308B-6DE4-AA4D3ADE75FE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6909120" y="33070320"/>
              <a:ext cx="126000" cy="12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571290</xdr:colOff>
      <xdr:row>186</xdr:row>
      <xdr:rowOff>28455</xdr:rowOff>
    </xdr:from>
    <xdr:to>
      <xdr:col>10</xdr:col>
      <xdr:colOff>599970</xdr:colOff>
      <xdr:row>186</xdr:row>
      <xdr:rowOff>47535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CC28E509-5392-322F-3FB3-9D7C3ABF7953}"/>
                </a:ext>
              </a:extLst>
            </xdr14:cNvPr>
            <xdr14:cNvContentPartPr/>
          </xdr14:nvContentPartPr>
          <xdr14:nvPr macro=""/>
          <xdr14:xfrm>
            <a:off x="6267240" y="30556080"/>
            <a:ext cx="638280" cy="190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CC28E509-5392-322F-3FB3-9D7C3ABF7953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6204240" y="30493080"/>
              <a:ext cx="76392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552570</xdr:colOff>
      <xdr:row>184</xdr:row>
      <xdr:rowOff>66465</xdr:rowOff>
    </xdr:from>
    <xdr:to>
      <xdr:col>10</xdr:col>
      <xdr:colOff>193170</xdr:colOff>
      <xdr:row>187</xdr:row>
      <xdr:rowOff>51930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A6C61BE4-87B2-DEC2-3023-E94D007A9E5D}"/>
                </a:ext>
              </a:extLst>
            </xdr14:cNvPr>
            <xdr14:cNvContentPartPr/>
          </xdr14:nvContentPartPr>
          <xdr14:nvPr macro=""/>
          <xdr14:xfrm>
            <a:off x="6248520" y="30270240"/>
            <a:ext cx="250200" cy="4712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A6C61BE4-87B2-DEC2-3023-E94D007A9E5D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6185611" y="30207240"/>
              <a:ext cx="375659" cy="59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599610</xdr:colOff>
      <xdr:row>192</xdr:row>
      <xdr:rowOff>18825</xdr:rowOff>
    </xdr:from>
    <xdr:to>
      <xdr:col>8</xdr:col>
      <xdr:colOff>9450</xdr:colOff>
      <xdr:row>197</xdr:row>
      <xdr:rowOff>123960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9E45BF84-BEAF-8223-3B48-689A15EE76D8}"/>
                </a:ext>
              </a:extLst>
            </xdr14:cNvPr>
            <xdr14:cNvContentPartPr/>
          </xdr14:nvContentPartPr>
          <xdr14:nvPr macro=""/>
          <xdr14:xfrm>
            <a:off x="5076360" y="31518000"/>
            <a:ext cx="19440" cy="9147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9E45BF84-BEAF-8223-3B48-689A15EE76D8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013360" y="31455000"/>
              <a:ext cx="145080" cy="10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409890</xdr:colOff>
      <xdr:row>191</xdr:row>
      <xdr:rowOff>133230</xdr:rowOff>
    </xdr:from>
    <xdr:to>
      <xdr:col>8</xdr:col>
      <xdr:colOff>209250</xdr:colOff>
      <xdr:row>193</xdr:row>
      <xdr:rowOff>115380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CE91AF2D-E650-67F4-2B4F-6E49541A1E25}"/>
                </a:ext>
              </a:extLst>
            </xdr14:cNvPr>
            <xdr14:cNvContentPartPr/>
          </xdr14:nvContentPartPr>
          <xdr14:nvPr macro=""/>
          <xdr14:xfrm>
            <a:off x="4886640" y="31470480"/>
            <a:ext cx="408960" cy="30600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CE91AF2D-E650-67F4-2B4F-6E49541A1E25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4823640" y="31407480"/>
              <a:ext cx="534600" cy="43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210</xdr:row>
      <xdr:rowOff>19050</xdr:rowOff>
    </xdr:from>
    <xdr:to>
      <xdr:col>9</xdr:col>
      <xdr:colOff>249083</xdr:colOff>
      <xdr:row>230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83E9C67-8F33-5976-CF37-BA56B2182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509075"/>
          <a:ext cx="5945033" cy="3343275"/>
        </a:xfrm>
        <a:prstGeom prst="rect">
          <a:avLst/>
        </a:prstGeom>
      </xdr:spPr>
    </xdr:pic>
    <xdr:clientData/>
  </xdr:twoCellAnchor>
  <xdr:twoCellAnchor editAs="oneCell">
    <xdr:from>
      <xdr:col>9</xdr:col>
      <xdr:colOff>418650</xdr:colOff>
      <xdr:row>227</xdr:row>
      <xdr:rowOff>46725</xdr:rowOff>
    </xdr:from>
    <xdr:to>
      <xdr:col>13</xdr:col>
      <xdr:colOff>424290</xdr:colOff>
      <xdr:row>227</xdr:row>
      <xdr:rowOff>85965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1876B412-B4D2-5898-A509-959C18EE5153}"/>
                </a:ext>
              </a:extLst>
            </xdr14:cNvPr>
            <xdr14:cNvContentPartPr/>
          </xdr14:nvContentPartPr>
          <xdr14:nvPr macro=""/>
          <xdr14:xfrm>
            <a:off x="6114600" y="37289475"/>
            <a:ext cx="2444040" cy="392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1876B412-B4D2-5898-A509-959C18EE5153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051960" y="37226475"/>
              <a:ext cx="256968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380130</xdr:colOff>
      <xdr:row>225</xdr:row>
      <xdr:rowOff>123615</xdr:rowOff>
    </xdr:from>
    <xdr:to>
      <xdr:col>10</xdr:col>
      <xdr:colOff>365970</xdr:colOff>
      <xdr:row>229</xdr:row>
      <xdr:rowOff>30315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9475042-7E88-9D77-D1A5-3942084A334C}"/>
                </a:ext>
              </a:extLst>
            </xdr14:cNvPr>
            <xdr14:cNvContentPartPr/>
          </xdr14:nvContentPartPr>
          <xdr14:nvPr macro=""/>
          <xdr14:xfrm>
            <a:off x="6076080" y="37042515"/>
            <a:ext cx="595440" cy="5544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9475042-7E88-9D77-D1A5-3942084A334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013440" y="36979515"/>
              <a:ext cx="721080" cy="680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4:57:15.225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4338.06396"/>
      <inkml:brushProperty name="anchorY" value="-2246.38281"/>
      <inkml:brushProperty name="scaleFactor" value="0.5"/>
    </inkml:brush>
  </inkml:definitions>
  <inkml:trace contextRef="#ctx0" brushRef="#br0">1 11 4915,'0'0'0,"0"-4"0,0-3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4:57:15.226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5608.06396"/>
      <inkml:brushProperty name="anchorY" value="-3505.4353"/>
      <inkml:brushProperty name="scaleFactor" value="0.5"/>
    </inkml:brush>
  </inkml:definitions>
  <inkml:trace contextRef="#ctx0" brushRef="#br0">0 52 10932,'1772'-52'0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4:57:15.227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8599.83984"/>
      <inkml:brushProperty name="anchorY" value="-4728.12256"/>
      <inkml:brushProperty name="scaleFactor" value="0.5"/>
    </inkml:brush>
    <inkml:brush xml:id="br1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6828.5127"/>
      <inkml:brushProperty name="anchorY" value="-4223.27637"/>
      <inkml:brushProperty name="scaleFactor" value="0.5"/>
    </inkml:brush>
  </inkml:definitions>
  <inkml:trace contextRef="#ctx0" brushRef="#br0">502 0 4915,'0'0'0,"0"5"180,-6 1 0,-4 5 88,-6-2-113,0 5 38,-2-2-13,3 3 0,-2 3 88,-2 3-26,-2-3-74,3 1 24,-1-4-11,-1 7 259,-2-3-334,4 1 111,-2-4-37,5 2 0,-1 1 88,3 2-113,-2 7 298,-2-3-347,3 0 111,2 0-37,-1 1 88,2 0-113,3-1 38,3 1-13,-9 1 260,2-1-334,1 0 111,-3-4-37,2-1 1,3 0-1,3 1 0,-3-4 0,1 1 0,2 1 1,2 1-1,1-3-210</inkml:trace>
  <inkml:trace contextRef="#ctx0" brushRef="#br1" timeOffset="1">26 926 4915,'0'0'0,"4"0"180,8 0 0,4 0 1,-1 5-1,3 1 0,3-1 0,1 0 1,-3 3-1,1 0 0,-4 3 0,1 0 0,1 3 88,2 3-26,3 3 13,1 3 0,2-3-87,0-5 24,-4 1-11,-1 1 86,6-3 98,-5 2-232,7 3 337,0 1-277,0-2 0,1-4-1,-2-5-11,-5 2-1,-1-2 0,0 3 87,-5 3-111,0-2 36,-3-1-222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4:57:15.229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7082.12256"/>
      <inkml:brushProperty name="anchorY" value="-1991.75305"/>
      <inkml:brushProperty name="scaleFactor" value="0.5"/>
    </inkml:brush>
  </inkml:definitions>
  <inkml:trace contextRef="#ctx0" brushRef="#br0">0 0 13782,'53'2540'0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4:57:15.230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8405.12207"/>
      <inkml:brushProperty name="anchorY" value="-5750.10498"/>
      <inkml:brushProperty name="scaleFactor" value="0.5"/>
    </inkml:brush>
    <inkml:brush xml:id="br1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6660.88867"/>
      <inkml:brushProperty name="anchorY" value="-5329.21338"/>
      <inkml:brushProperty name="scaleFactor" value="0.5"/>
    </inkml:brush>
  </inkml:definitions>
  <inkml:trace contextRef="#ctx0" brushRef="#br0">475 0 4915,'0'0'0,"0"5"180,0 6 0,0 5 1,0 5-1,-6 2 87,1 8 99,-11 2 26,-4 5 4,0 0-253,-1-2 162,3-3-150,0-1 125,-2-3-38,4 4 136,-2-6-245,-1 4 337,-2-6-364,4 0 111,-3-1 51,0 0-26,-2 1 13,4 0-87,-1 0 111,-2 7 137,-1-1-211,4 1-12,4-1-1,0-1 76,-3 4 147,-2-6-297,3-7-111</inkml:trace>
  <inkml:trace contextRef="#ctx0" brushRef="#br1" timeOffset="1">661 211 4915,'0'0'0,"4"0"180,7 6 88,0 4-113,4 7 125,3-2-125,4 3 125,-4 3-125,2 2 125,1 1-38,2 1 13,6 7 297,-4 0-469,1 0 239,-6-1-166,6-1 296,-6-1-346,-4-1 112,1-6-38,-5-1 0,7 5 385,3 1-408,-3 2 53,2-6-17,1 0 74,-5-6-322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5:45:15.510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</inkml:definitions>
  <inkml:trace contextRef="#ctx0" brushRef="#br0">1 108 4915,'0'0'0,"4"0"180,8 0 0,4 0 1,10 0 209,3 0-270,13 0 511,0 0-571,10 0 601,3 0-391,-4-5-2,-5-6 4,0 0 106,-1 1-35,-3 3-193,1 1 271,2 3-91,2 2 30,2 0 1,7 1 210,7-5-27,-5 0-433,5-5 589,3 0-230,5 2 76,-3 2-216,3 1 271,2 3-90,-3 1-181,1 0 271,2 2-91,2-1 31,6 0 210,-3 1-481,6-1 571,0 0-390,5 0 330,-1 0-301,5 0 301,-2 0-300,-8 0-121,3 0 451,-2 0-813,-1 0 71,-1 0-43,-7 0-26,0 0 0,-7 0 0,-3 0 0,-6 0 0,3 0 0,3 0 0,4 0 0,4 0 0,13 0 0,8 0 0,7 0 0,-1 0 0,-4 0 0,-9 0 0,-5 0 0,-3 0 0,-13 0 0,5 0 0,0 0 0,14 0 0,2 0 0,6 0 0,6 0 0,-2 0 0,-3 0 0,-5 0 0,-8 0 0,-3 0 0,-13 0 0,-1 0 0,-10 0 0,-2 0 0,-3 0 0,0 0 0,6 0 0,6 0 0,-4 0 0,4 0 0,-6 0 0,4 0 0,-7 0 0,0 0 0,-7 0 0,0 0 0,-5 0 0,1 0 0,-3 0 0,2 0 0,-2 0 0,-3 0 0,3 0 0,8 0 0,4 0 0,8 0 0,2 0 0,1 0 0,-7 0 0,-7 0 0,-7 0 0,-6 0 0,-4 0 0,-3 0 0,-1 0 0,4 0 0,1 0 0,-6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5:45:15.511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9327.62988"/>
      <inkml:brushProperty name="anchorY" value="-2434.00049"/>
      <inkml:brushProperty name="scaleFactor" value="0.5"/>
    </inkml:brush>
  </inkml:definitions>
  <inkml:trace contextRef="#ctx0" brushRef="#br0">611 0 4915,'0'0'0,"-5"0"180,-12 5 260,1 6-334,-5 0 112,4 4-38,-2 4 87,-2 2-24,4 3-76,-1-4 26,4 1-13,-2 0 88,-2 7 147,-2 1-210,-2 2 75,3 4 98,-1 5 14,-1 0-169,4-2-30,-1-9 0,3-2-13,0-3 87,2-1-112,4 1 38,-3 5 247,-2-3-334,1-1 112,-2 5 222,2 1-334,3-1 111,-2 6 223,-3-2-247,2 0 0,-3 3 259,-3-1-259,4-2 0,-8-2 259,3-2-346,9-7 112,10-7-38,10-5 0,7-5 0,12-4 211,8-2-61,8-1 30,5 0 1,-2 0-211,6 5 515,2 0-404,-4 7 11,-1-2 123,-6 0-262,-4 3 164,5 3 313,2 4-287,3-3 58,7 3 231,-4-4-532,0 1 425,5 3 56,5 1-19,0-2-216,-6 1-54,-2-4-117,-3 1-164,-5 8 35,-7-4-26,-5-2 0,-4-1 0,8 2 0,-6 2 0,-2-4 0,-2 2 0,-2-5 0,-1-3 0,0-4 0,0 3 0,0 2 0,0 0 0,-5 3 0,-6-3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6T12:03:08.828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1985 0,'-9'1,"-1"-1,2 2,-1-1,0 1,1 0,-1 1,1 0,0 1,-9 4,-9 7,-33 25,27-16,-622 442,29 37,461-361,-125 111,286-250,-3 2,1 0,0 0,0 0,-6 10,10-14,0 0,1 0,0 0,-1 1,0-1,0 0,1 0,0 1,0-1,0 0,-1 0,1 1,0-1,0 1,0-1,0 0,0 1,1-1,-1 0,0 0,0 1,1-1,-1 0,1 0,0 1,-1-2,1 2,0-1,-1 0,1 0,1 1,7 5,-1 0,1-1,0 0,11 5,9 6,346 253,-20 32,-271-228,305 279,58 52,-86-109,512 319,-836-590,-19-13,0 0,40 18,-57-29,0-1,0 0,-1 1,1 0,0-1,0 1,0-1,-1 0,2 0,-1 0,-1 0,2 1,-2-1,2 0,-1 0,-1 0,2 0,-2-1,1 1,1 0,-2 0,1 0,0-1,0 1,0-1,-1 1,1-1,1 1,-2-1,1 1,0-1,-1 1,1-1,0 0,0 0,0-1,0 0,-1-1,1 0,-1 0,1 0,-1 0,0 1,0-1,0 0,0 0,-2-5,-8-32</inkml:trace>
  <inkml:trace contextRef="#ctx0" brushRef="#br0" timeOffset="1116.33">1480 1404,'37'1,"51"9,-25-2,552 70,-37-3,-272-41,411 49,281 71,-88-13,6-20,-270-39,-497-60,163 19,-1-24,-288-18</inkml:trace>
  <inkml:trace contextRef="#ctx0" brushRef="#br0" timeOffset="2522.97">2303 2153,'0'2,"0"0,1-1,-1 1,1-1,-1 0,0 1,1-1,0 1,0-1,0 0,0 1,-1-1,2 1,-2-2,2 2,-1-1,0 0,0 0,1-1,-1 2,1-2,-1 1,0 0,1 0,-1-1,1 0,-1 1,0-1,1 1,2-1,9 2,-1-1,0 1,13-2,-10 0,244 30,-163-15,234 34,167 21,-187-31,225 27,186 24,-334-37,629 102,-832-129,1-9,263-7,-415-11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6T13:15:00.270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1270"/>
      <inkml:brushProperty name="anchorY" value="-1270"/>
      <inkml:brushProperty name="scaleFactor" value="0.5"/>
    </inkml:brush>
    <inkml:brush xml:id="br1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2540"/>
      <inkml:brushProperty name="anchorY" value="-2540"/>
      <inkml:brushProperty name="scaleFactor" value="0.5"/>
    </inkml:brush>
    <inkml:brush xml:id="br2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4299.08691"/>
      <inkml:brushProperty name="anchorY" value="-5729.84424"/>
      <inkml:brushProperty name="scaleFactor" value="0.5"/>
    </inkml:brush>
  </inkml:definitions>
  <inkml:trace contextRef="#ctx0" brushRef="#br0">2585 1631 4915,'0'0'0</inkml:trace>
  <inkml:trace contextRef="#ctx0" brushRef="#br1" timeOffset="2631.77">2162 17 4915,'0'0'0,"0"-4"0,-6-3 210,-5 2-60,-5 6 118,-10 1 97,-8 7 28,-14 10 291,-10 5-169,-20 15 629,-2 7-804,-19 5 995,-7 9-579,-9 6 360,3-4-651,-5 3 746,7-3-709,7-2 215,8-2-67,11-2-164,11-6-77,-2-2 482,16-6-883,0-5 732,-2 7-8,-3 2-134,5-2-390,7-3 113,3-5 106,7-3-221,5-3 74,-2-2 147,5 3-49,-4-5-24,2 0-110,-4-1 201,8 0-453,18-6 51,14-4-31,17-6-12,9-3 0,10-4 0,7-1 0,6-2 0,-2 0 0,2 0 0,-5 1 0,1-1 0,1 0 0,1 1 0,-3 0 0,7 0 0,-4 0 0,6 0 0,1 0 0,1 0 0,1 0 0,-6 0 0,-1 5 0,-6 1 0,-5-1 0,1 0 0,-3 8 0,3 0 0,-3 4 0,4 3 0,-3-2 0,-1 1 0,-4 1 0,-1-3 0,-3-4 0,-1-4 0,0 2 0,4 2 0,0-1 0,-4 3 0,3-3 0,0 3 0,-1-2 0,0-4 0,4 3 0,0 3 0,-1-2 0,-1-2 0,-1-4 0,-2-2 0,0-2 0,-7 3 0,0-1 0,0 0 0,1-1 0,1-1 0,1-2 0,1 5 0,6 0 0,1 5 0,5 4 0,0-1 0,-2-3 0,-1-2 0,-3 7 0,-2-2 0,-2 3 0,0-2 0,-1-3 0,6-4 0,4 2 0,1-2 0,10 4 0,3-3 0,-2 5 0,-4-3 0,-10-2 0</inkml:trace>
  <inkml:trace contextRef="#ctx0" brushRef="#br2" timeOffset="4415.76">1289 1049 4915,'0'0'0,"13"0"541,11 0-421,13 0 541,14 0-181,17 0 271,19 0 150,17 0-30,7 0-180,10 0 270,16 0 331,4 0-511,8 0 390,15 0 301,-2 0-721,7 0 661,5 0-211,-7 0-360,4 0 541,-19 0-1022,-14 0 511,-17 0-390,-22 0-541,-22 0 150,-8-5-90,-16-1 0,-4 1 0,3-5 0,-1 1 0,7 2 0,6 1 0,10 3 0,21 1 0,10 1 0,0 1 0,2 0 0,-4 0 0,-12 0 0,-11 1 0,-16-1 0,-13 0 0,0-5 0,-2-1 0,5 1 0,-4 0 0,-4 2 0,-1 1 0,-5 1 0,-3 0 0,-5 1 0,-2 0 0,3 1 0,5-1 0,3 0 0,11 0 0,8 0 0,8 0 0,-5 0 0,4 0 0,-4 0 0,-7 0 0,-13-5 0,-9-6 0,-5 0 0,-4 2 0,-1 1 0,4 3 0,2 1 0,-1 3 0,1 0 0,-1 1 0,-1 1 0,-1-1 0,0 1 0,5-1 0,6 0 0,-1 0 0,4 0 0,4 0 0,3-5 0,2 0 0,-3-1 0,-5 2 0,-5 1 0,-4 1 0,-9 1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4:23:34.939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</inkml:definitions>
  <inkml:trace contextRef="#ctx0" brushRef="#br0">1310 0 12473,'-1309'1309'0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4:23:38.905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2244.9729"/>
      <inkml:brushProperty name="anchorY" value="-609.37012"/>
      <inkml:brushProperty name="scaleFactor" value="0.5"/>
    </inkml:brush>
  </inkml:definitions>
  <inkml:trace contextRef="#ctx0" brushRef="#br0">1 0 4915,'0'0'0,"4"0"180,8 0 0,4 0 1,10 5 259,3 1-334,7 5 371,1-2-371,0 5 198,-3-2-148,-3 3 123,-1-2-123,-2-3 36,-1 2 76,-1-3-113,-5 4 38,0-2-13,-1 3 87,2-3-111,1 9 296,1 3-259,2-3 0,0 7 259,0-5-346,1 2 199,0-6-150,-1 6 298,1-4-347,-1-5 111,1 2 50,-6 0-111,0 3 123,0-3-123,1 1 123,7 2 137,6 1-38,-4 3-235,-1-5 74,-1 1 51,-2 1-26,0 2 13,-1 0 0,0 2 0,0 1 0,0 0-1,1 0 1,-1 1 0,0 0 0,1-1 0,-1 1 0,1 0 0,-6-1-88,0-5 26,0 0 74,1 0-24,1 1 12,1-3-88,-3-6-184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4:23:43.706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476.07559"/>
      <inkml:brushProperty name="anchorY" value="-2897.37158"/>
      <inkml:brushProperty name="scaleFactor" value="0.5"/>
    </inkml:brush>
  </inkml:definitions>
  <inkml:trace contextRef="#ctx0" brushRef="#br0">1 531 4915,'0'0'0,"0"5"180,5 1 0,5-1 1,12 0 209,4-2-270,8-1 301,2-1-301,10-1 511,10-5-117,8 0 17,7-1 15,16-9 496,-3 1-855,2 1 486,-1 3-163,9-3 472,-12 4-988,-2 1 730,-12 3-664,-7 2 391,-6-4-71,-8 1-244,-7 1 81,-1 1 173,-3 1-269,7 1 509,-2-4-482,-2 1 67,3-1 188,1 2-73,4 1 31,1 1-1,-2-4-123,6 0 369,6 1-113,-4 0-373,1 2 331,-2-4-71,0 1-34,0 0 22,0 2-8,-6 1-210,6-9 609,-6 0-736,1 1 446,-4 2-349,0-3 350,6 3 57,-2 1-596,11-2 147,-4 1-72,7 2-6,-2 2 0,5-9 0,-2 2 0,4 0 0,-2 3 0,3-2 0,2 2 0,-2 2 0,3 2 0,1 2 0,2-4 0,-8 0 0,6-9 0,-4 1 0,-8 2 0,-4 2 0,-8 4 0,-7 2 0,-2 3 0,-3 1 0,2-4 0,-2 0 0,8 1 0,-1 0 0,8 1 0,2 2 0,-3 0 0,0-5 0,-5 0 0,-6 1 0,2-4 0,-5 0 0,3 2 0,-2 1 0,-3 3 0,-2 1 0,4 1 0,-3 1 0,0 0 0,-2 0 0,-2 1 0,-1-1 0,-1 0 0,0 0 0,-1 0 0,0 0 0,0 0 0,-5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4:42:51.140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4338.06396"/>
      <inkml:brushProperty name="anchorY" value="-2246.38281"/>
      <inkml:brushProperty name="scaleFactor" value="0.5"/>
    </inkml:brush>
  </inkml:definitions>
  <inkml:trace contextRef="#ctx0" brushRef="#br0">1 11 4915,'0'0'0,"0"-4"0,0-3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4:42:55.031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5608.06396"/>
      <inkml:brushProperty name="anchorY" value="-3505.4353"/>
      <inkml:brushProperty name="scaleFactor" value="0.5"/>
    </inkml:brush>
  </inkml:definitions>
  <inkml:trace contextRef="#ctx0" brushRef="#br0">0 52 10932,'1772'-52'0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4:42:57.889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8599.83984"/>
      <inkml:brushProperty name="anchorY" value="-4728.12256"/>
      <inkml:brushProperty name="scaleFactor" value="0.5"/>
    </inkml:brush>
    <inkml:brush xml:id="br1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6828.5127"/>
      <inkml:brushProperty name="anchorY" value="-4223.27637"/>
      <inkml:brushProperty name="scaleFactor" value="0.5"/>
    </inkml:brush>
  </inkml:definitions>
  <inkml:trace contextRef="#ctx0" brushRef="#br0">502 0 4915,'0'0'0,"0"5"180,-6 1 0,-4 5 88,-6-2-113,0 5 38,-2-2-13,3 3 0,-2 3 88,-2 3-26,-2-3-74,3 1 24,-1-4-11,-1 7 259,-2-3-334,4 1 111,-2-4-37,5 2 0,-1 1 88,3 2-113,-2 7 298,-2-3-347,3 0 111,2 0-37,-1 1 88,2 0-113,3-1 38,3 1-13,-9 1 260,2-1-334,1 0 111,-3-4-37,2-1 1,3 0-1,3 1 0,-3-4 0,1 1 0,2 1 1,2 1-1,1-3-210</inkml:trace>
  <inkml:trace contextRef="#ctx0" brushRef="#br1" timeOffset="2655.62">26 926 4915,'0'0'0,"4"0"180,8 0 0,4 0 1,-1 5-1,3 1 0,3-1 0,1 0 1,-3 3-1,1 0 0,-4 3 0,1 0 0,1 3 88,2 3-26,3 3 13,1 3 0,2-3-87,0-5 24,-4 1-11,-1 1 86,6-3 98,-5 2-232,7 3 337,0 1-277,0-2 0,1-4-1,-2-5-11,-5 2-1,-1-2 0,0 3 87,-5 3-111,0-2 36,-3-1-222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4:43:16.419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7082.12256"/>
      <inkml:brushProperty name="anchorY" value="-1991.75305"/>
      <inkml:brushProperty name="scaleFactor" value="0.5"/>
    </inkml:brush>
  </inkml:definitions>
  <inkml:trace contextRef="#ctx0" brushRef="#br0">0 0 13782,'53'2540'0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4:43:18.964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8405.12207"/>
      <inkml:brushProperty name="anchorY" value="-5750.10498"/>
      <inkml:brushProperty name="scaleFactor" value="0.5"/>
    </inkml:brush>
    <inkml:brush xml:id="br1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6660.88867"/>
      <inkml:brushProperty name="anchorY" value="-5329.21338"/>
      <inkml:brushProperty name="scaleFactor" value="0.5"/>
    </inkml:brush>
  </inkml:definitions>
  <inkml:trace contextRef="#ctx0" brushRef="#br0">475 0 4915,'0'0'0,"0"5"180,0 6 0,0 5 1,0 5-1,-6 2 87,1 8 99,-11 2 26,-4 5 4,0 0-253,-1-2 162,3-3-150,0-1 125,-2-3-38,4 4 136,-2-6-245,-1 4 337,-2-6-364,4 0 111,-3-1 51,0 0-26,-2 1 13,4 0-87,-1 0 111,-2 7 137,-1-1-211,4 1-12,4-1-1,0-1 76,-3 4 147,-2-6-297,3-7-111</inkml:trace>
  <inkml:trace contextRef="#ctx0" brushRef="#br1" timeOffset="2468.16">661 211 4915,'0'0'0,"4"0"180,7 6 88,0 4-113,4 7 125,3-2-125,4 3 125,-4 3-125,2 2 125,1 1-38,2 1 13,6 7 297,-4 0-469,1 0 239,-6-1-166,6-1 296,-6-1-346,-4-1 112,1-6-38,-5-1 0,7 5 385,3 1-408,-3 2 53,2-6-17,1 0 74,-5-6-322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5:17:02.611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</inkml:definitions>
  <inkml:trace contextRef="#ctx0" brushRef="#br0">1 108 4915,'0'0'0,"4"0"180,8 0 0,4 0 1,10 0 209,3 0-270,13 0 511,0 0-571,10 0 601,3 0-391,-4-5-2,-5-6 4,0 0 106,-1 1-35,-3 3-193,1 1 271,2 3-91,2 2 30,2 0 1,7 1 210,7-5-27,-5 0-433,5-5 589,3 0-230,5 2 76,-3 2-216,3 1 271,2 3-90,-3 1-181,1 0 271,2 2-91,2-1 31,6 0 210,-3 1-481,6-1 571,0 0-390,5 0 330,-1 0-301,5 0 301,-2 0-300,-8 0-121,3 0 451,-2 0-813,-1 0 71,-1 0-43,-7 0-26,0 0 0,-7 0 0,-3 0 0,-6 0 0,3 0 0,3 0 0,4 0 0,4 0 0,13 0 0,8 0 0,7 0 0,-1 0 0,-4 0 0,-9 0 0,-5 0 0,-3 0 0,-13 0 0,5 0 0,0 0 0,14 0 0,2 0 0,6 0 0,6 0 0,-2 0 0,-3 0 0,-5 0 0,-8 0 0,-3 0 0,-13 0 0,-1 0 0,-10 0 0,-2 0 0,-3 0 0,0 0 0,6 0 0,6 0 0,-4 0 0,4 0 0,-6 0 0,4 0 0,-7 0 0,0 0 0,-7 0 0,0 0 0,-5 0 0,1 0 0,-3 0 0,2 0 0,-2 0 0,-3 0 0,3 0 0,8 0 0,4 0 0,8 0 0,2 0 0,1 0 0,-7 0 0,-7 0 0,-7 0 0,-6 0 0,-4 0 0,-3 0 0,-1 0 0,4 0 0,1 0 0,-6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7T05:17:06.454"/>
    </inkml:context>
    <inkml:brush xml:id="br0">
      <inkml:brushProperty name="width" value="0.35" units="cm"/>
      <inkml:brushProperty name="height" value="0.35" units="cm"/>
      <inkml:brushProperty name="color" value="#0B868D"/>
      <inkml:brushProperty name="inkEffects" value="ocean"/>
      <inkml:brushProperty name="anchorX" value="-9327.62988"/>
      <inkml:brushProperty name="anchorY" value="-2434.00049"/>
      <inkml:brushProperty name="scaleFactor" value="0.5"/>
    </inkml:brush>
  </inkml:definitions>
  <inkml:trace contextRef="#ctx0" brushRef="#br0">611 0 4915,'0'0'0,"-5"0"180,-12 5 260,1 6-334,-5 0 112,4 4-38,-2 4 87,-2 2-24,4 3-76,-1-4 26,4 1-13,-2 0 88,-2 7 147,-2 1-210,-2 2 75,3 4 98,-1 5 14,-1 0-169,4-2-30,-1-9 0,3-2-13,0-3 87,2-1-112,4 1 38,-3 5 247,-2-3-334,1-1 112,-2 5 222,2 1-334,3-1 111,-2 6 223,-3-2-247,2 0 0,-3 3 259,-3-1-259,4-2 0,-8-2 259,3-2-346,9-7 112,10-7-38,10-5 0,7-5 0,12-4 211,8-2-61,8-1 30,5 0 1,-2 0-211,6 5 515,2 0-404,-4 7 11,-1-2 123,-6 0-262,-4 3 164,5 3 313,2 4-287,3-3 58,7 3 231,-4-4-532,0 1 425,5 3 56,5 1-19,0-2-216,-6 1-54,-2-4-117,-3 1-164,-5 8 35,-7-4-26,-5-2 0,-4-1 0,8 2 0,-6 2 0,-2-4 0,-2 2 0,-2-5 0,-1-3 0,0-4 0,0 3 0,0 2 0,0 0 0,-5 3 0,-6-3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FF6692-A94C-4E7B-93F0-557629F97F80}" name="Table4" displayName="Table4" ref="A1:J32" totalsRowShown="0" headerRowDxfId="11" dataDxfId="10" headerRowCellStyle="Normal 2" dataCellStyle="Normal 2">
  <autoFilter ref="A1:J32" xr:uid="{FBFF6692-A94C-4E7B-93F0-557629F97F80}"/>
  <tableColumns count="10">
    <tableColumn id="1" xr3:uid="{0D691149-8A93-4315-BE07-C65065A7086A}" name="Product ID" dataDxfId="9" dataCellStyle="Normal 2"/>
    <tableColumn id="2" xr3:uid="{5F45DB6C-C212-46E8-96A6-7066B391D7FD}" name="Product Name" dataDxfId="8" dataCellStyle="Normal 2"/>
    <tableColumn id="3" xr3:uid="{0E90EEC1-85DF-4C39-A1CA-8E92E9B43BEC}" name="Brand Name" dataDxfId="7" dataCellStyle="Normal 2"/>
    <tableColumn id="4" xr3:uid="{6E9347CE-E52E-4F74-AE5E-CC1BA403149A}" name="Price ($)" dataDxfId="6" dataCellStyle="Normal 2"/>
    <tableColumn id="5" xr3:uid="{BB9E1405-5154-4878-9A7B-6C3B533966EC}" name="Quantity" dataDxfId="5" dataCellStyle="Normal 2"/>
    <tableColumn id="6" xr3:uid="{C931BEBE-4019-48F6-85CA-ED2536F929F0}" name="Category" dataDxfId="4" dataCellStyle="Normal 2"/>
    <tableColumn id="7" xr3:uid="{B7712CAF-0194-4F31-9540-474C14473654}" name="PROPER CASE" dataDxfId="3" dataCellStyle="Normal 2">
      <calculatedColumnFormula>PROPER(B2)</calculatedColumnFormula>
    </tableColumn>
    <tableColumn id="9" xr3:uid="{F3CEDD3C-7276-4BCC-8E4E-D0C7C0B73F5E}" name="DATE " dataDxfId="0" dataCellStyle="Normal 2">
      <calculatedColumnFormula>_xlfn.TEXTBEFORE(A2,"-",-1)</calculatedColumnFormula>
    </tableColumn>
    <tableColumn id="10" xr3:uid="{BB8D3A5F-AABA-47C1-91EB-F67CCD0683C2}" name="SLIPT COUNTRY CODE" dataDxfId="2" dataCellStyle="Normal 2">
      <calculatedColumnFormula>RIGHT(A2,2)</calculatedColumnFormula>
    </tableColumn>
    <tableColumn id="11" xr3:uid="{90CFC069-CC0C-4D4C-9570-A7E4ABCDBABF}" name="NUMS TO CURRENCY" dataDxfId="1" dataCellStyle="Normal 2">
      <calculatedColumnFormula>TEXT(D2,"$#,##0.00")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2AD393-0B94-4EED-BC73-AFE9539340E5}">
  <we:reference id="wa200008734" version="1.0.0.4" store="en-US" storeType="OMEX"/>
  <we:alternateReferences>
    <we:reference id="WA200008734" version="1.0.0.4" store="WA200008734" storeType="OMEX"/>
  </we:alternateReferences>
  <we:properties>
    <we:property name="elkar-uid" value="&quot;fa24fd18-0edd-4c63-8e03-a757ffcbc69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showGridLines="0" workbookViewId="0">
      <selection activeCell="J20" sqref="J20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6" ht="15.75" customHeight="1" x14ac:dyDescent="0.25">
      <c r="A1" s="1" t="s">
        <v>0</v>
      </c>
    </row>
    <row r="2" spans="1:6" ht="15.75" customHeight="1" x14ac:dyDescent="0.25">
      <c r="A2" s="1"/>
    </row>
    <row r="3" spans="1:6" ht="15.75" customHeight="1" x14ac:dyDescent="0.25">
      <c r="B3" s="18" t="s">
        <v>15</v>
      </c>
    </row>
    <row r="4" spans="1:6" ht="15.75" customHeight="1" x14ac:dyDescent="0.25">
      <c r="B4" s="2"/>
      <c r="C4" s="19" t="s">
        <v>24</v>
      </c>
      <c r="D4" s="2"/>
    </row>
    <row r="5" spans="1:6" ht="15.75" customHeight="1" x14ac:dyDescent="0.25">
      <c r="B5" s="2"/>
      <c r="C5" s="19" t="s">
        <v>44</v>
      </c>
      <c r="D5" s="3"/>
      <c r="E5" s="3"/>
      <c r="F5" s="3"/>
    </row>
    <row r="6" spans="1:6" ht="15.75" customHeight="1" x14ac:dyDescent="0.25">
      <c r="B6" s="3"/>
      <c r="C6" s="19" t="s">
        <v>56</v>
      </c>
      <c r="D6" s="3"/>
      <c r="E6" s="3"/>
      <c r="F6" s="3"/>
    </row>
    <row r="7" spans="1:6" ht="15.75" customHeight="1" x14ac:dyDescent="0.25">
      <c r="B7" s="3"/>
      <c r="C7" s="3"/>
      <c r="D7" s="3"/>
      <c r="E7" s="3"/>
      <c r="F7" s="3"/>
    </row>
    <row r="8" spans="1:6" ht="15.75" customHeight="1" x14ac:dyDescent="0.25">
      <c r="B8" s="18" t="s">
        <v>136</v>
      </c>
      <c r="C8" s="20"/>
    </row>
    <row r="9" spans="1:6" ht="15.75" customHeight="1" x14ac:dyDescent="0.25">
      <c r="B9" s="20"/>
      <c r="C9" s="19" t="s">
        <v>137</v>
      </c>
      <c r="D9" s="2"/>
    </row>
    <row r="10" spans="1:6" ht="15.75" customHeight="1" x14ac:dyDescent="0.25">
      <c r="B10" s="20"/>
      <c r="C10" s="19" t="s">
        <v>89</v>
      </c>
    </row>
    <row r="11" spans="1:6" ht="15.75" customHeight="1" x14ac:dyDescent="0.25">
      <c r="C11" s="3"/>
    </row>
    <row r="12" spans="1:6" ht="15.75" customHeight="1" x14ac:dyDescent="0.25">
      <c r="B12" s="18" t="s">
        <v>138</v>
      </c>
      <c r="C12" s="20"/>
    </row>
    <row r="13" spans="1:6" ht="15.75" customHeight="1" x14ac:dyDescent="0.25">
      <c r="A13" s="2"/>
      <c r="B13" s="20"/>
      <c r="C13" s="19" t="s">
        <v>1</v>
      </c>
    </row>
    <row r="14" spans="1:6" ht="15.75" customHeight="1" x14ac:dyDescent="0.25">
      <c r="B14" s="4"/>
    </row>
    <row r="15" spans="1:6" ht="15.75" customHeight="1" x14ac:dyDescent="0.25">
      <c r="B15" s="2" t="s">
        <v>2</v>
      </c>
    </row>
    <row r="16" spans="1:6" ht="15.75" customHeight="1" x14ac:dyDescent="0.25">
      <c r="C16" s="3" t="s">
        <v>3</v>
      </c>
    </row>
    <row r="17" spans="2:3" ht="15.75" customHeight="1" x14ac:dyDescent="0.25">
      <c r="C17" s="3" t="s">
        <v>4</v>
      </c>
    </row>
    <row r="18" spans="2:3" ht="15.75" customHeight="1" x14ac:dyDescent="0.25">
      <c r="B18" s="4"/>
    </row>
    <row r="19" spans="2:3" ht="15.75" customHeight="1" x14ac:dyDescent="0.25">
      <c r="B19" s="2" t="s">
        <v>5</v>
      </c>
    </row>
    <row r="20" spans="2:3" ht="15.75" customHeight="1" x14ac:dyDescent="0.25">
      <c r="C20" s="3" t="s">
        <v>6</v>
      </c>
    </row>
    <row r="21" spans="2:3" ht="15.75" customHeight="1" x14ac:dyDescent="0.25">
      <c r="C21" s="3" t="s">
        <v>7</v>
      </c>
    </row>
    <row r="22" spans="2:3" ht="15.75" customHeight="1" x14ac:dyDescent="0.25">
      <c r="C22" s="3" t="s">
        <v>8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801F-6A4C-44F1-A0EC-6CD7492E2D37}">
  <dimension ref="B1:L25"/>
  <sheetViews>
    <sheetView topLeftCell="A5" workbookViewId="0">
      <selection activeCell="D25" sqref="D25"/>
    </sheetView>
  </sheetViews>
  <sheetFormatPr defaultRowHeight="12.75" x14ac:dyDescent="0.2"/>
  <sheetData>
    <row r="1" spans="2:12" ht="15" x14ac:dyDescent="0.25">
      <c r="B1" s="9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2:12" x14ac:dyDescent="0.2"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15.75" x14ac:dyDescent="0.25">
      <c r="B3" s="8"/>
      <c r="C3" s="10" t="s">
        <v>114</v>
      </c>
      <c r="D3" s="8"/>
      <c r="E3" s="8"/>
      <c r="F3" s="8"/>
      <c r="G3" s="8"/>
      <c r="H3" s="8"/>
      <c r="I3" s="8"/>
      <c r="J3" s="8"/>
      <c r="K3" s="8"/>
      <c r="L3" s="8"/>
    </row>
    <row r="4" spans="2:12" ht="15.75" x14ac:dyDescent="0.25">
      <c r="B4" s="8"/>
      <c r="C4" s="8"/>
      <c r="D4" s="11" t="s">
        <v>115</v>
      </c>
      <c r="E4" s="8"/>
      <c r="F4" s="8"/>
      <c r="G4" s="8"/>
      <c r="H4" s="8"/>
      <c r="I4" s="8"/>
      <c r="J4" s="8"/>
      <c r="K4" s="8"/>
      <c r="L4" s="8"/>
    </row>
    <row r="5" spans="2:12" ht="15.75" x14ac:dyDescent="0.25">
      <c r="B5" s="8"/>
      <c r="C5" s="12"/>
      <c r="D5" s="11" t="s">
        <v>116</v>
      </c>
      <c r="E5" s="8"/>
      <c r="F5" s="8"/>
      <c r="G5" s="8"/>
      <c r="H5" s="8"/>
      <c r="I5" s="8"/>
      <c r="J5" s="8"/>
      <c r="K5" s="8"/>
      <c r="L5" s="8"/>
    </row>
    <row r="6" spans="2:12" ht="15" x14ac:dyDescent="0.25">
      <c r="B6" s="8"/>
      <c r="C6" s="12"/>
      <c r="D6" s="8"/>
      <c r="E6" s="8"/>
      <c r="F6" s="8"/>
      <c r="G6" s="8"/>
      <c r="H6" s="8"/>
      <c r="I6" s="8"/>
      <c r="J6" s="8"/>
      <c r="K6" s="8"/>
      <c r="L6" s="8"/>
    </row>
    <row r="7" spans="2:12" ht="15.75" x14ac:dyDescent="0.25">
      <c r="B7" s="8"/>
      <c r="C7" s="10" t="s">
        <v>117</v>
      </c>
      <c r="D7" s="8"/>
      <c r="E7" s="8"/>
      <c r="F7" s="8"/>
      <c r="G7" s="8"/>
      <c r="H7" s="8"/>
      <c r="I7" s="8"/>
      <c r="J7" s="8"/>
      <c r="K7" s="8"/>
      <c r="L7" s="8"/>
    </row>
    <row r="8" spans="2:12" ht="15.75" x14ac:dyDescent="0.25">
      <c r="B8" s="8"/>
      <c r="C8" s="8"/>
      <c r="D8" s="11" t="s">
        <v>118</v>
      </c>
      <c r="E8" s="8"/>
      <c r="F8" s="8"/>
      <c r="G8" s="8"/>
      <c r="H8" s="8"/>
      <c r="I8" s="8"/>
      <c r="J8" s="8"/>
      <c r="K8" s="8"/>
      <c r="L8" s="8"/>
    </row>
    <row r="9" spans="2:12" ht="15.75" x14ac:dyDescent="0.25">
      <c r="B9" s="8"/>
      <c r="C9" s="8"/>
      <c r="D9" s="11" t="s">
        <v>119</v>
      </c>
      <c r="E9" s="8"/>
      <c r="F9" s="8"/>
      <c r="G9" s="8"/>
      <c r="H9" s="8"/>
      <c r="I9" s="8"/>
      <c r="J9" s="8"/>
      <c r="K9" s="8"/>
      <c r="L9" s="8"/>
    </row>
    <row r="10" spans="2:12" ht="15.75" x14ac:dyDescent="0.25">
      <c r="B10" s="8"/>
      <c r="C10" s="8"/>
      <c r="D10" s="11" t="s">
        <v>120</v>
      </c>
      <c r="E10" s="8"/>
      <c r="F10" s="8"/>
      <c r="G10" s="8"/>
      <c r="H10" s="8"/>
      <c r="I10" s="8"/>
      <c r="J10" s="8"/>
      <c r="K10" s="8"/>
      <c r="L10" s="8"/>
    </row>
    <row r="11" spans="2:12" ht="15" x14ac:dyDescent="0.25">
      <c r="B11" s="8"/>
      <c r="C11" s="12"/>
      <c r="D11" s="8"/>
      <c r="E11" s="8"/>
      <c r="F11" s="8"/>
      <c r="G11" s="8"/>
      <c r="H11" s="8"/>
      <c r="I11" s="8"/>
      <c r="J11" s="8"/>
      <c r="K11" s="8"/>
      <c r="L11" s="8"/>
    </row>
    <row r="12" spans="2:12" ht="15.75" x14ac:dyDescent="0.25">
      <c r="B12" s="8"/>
      <c r="C12" s="10" t="s">
        <v>110</v>
      </c>
      <c r="D12" s="8"/>
      <c r="E12" s="8"/>
      <c r="F12" s="8"/>
      <c r="G12" s="8"/>
      <c r="H12" s="8"/>
      <c r="I12" s="8"/>
      <c r="J12" s="8"/>
      <c r="K12" s="8"/>
      <c r="L12" s="8"/>
    </row>
    <row r="13" spans="2:12" ht="15.75" x14ac:dyDescent="0.25">
      <c r="B13" s="8"/>
      <c r="C13" s="10"/>
      <c r="D13" s="11" t="s">
        <v>121</v>
      </c>
      <c r="E13" s="8"/>
      <c r="F13" s="8"/>
      <c r="G13" s="8"/>
      <c r="H13" s="8"/>
      <c r="I13" s="8"/>
      <c r="J13" s="8"/>
      <c r="K13" s="8"/>
      <c r="L13" s="8"/>
    </row>
    <row r="14" spans="2:12" x14ac:dyDescent="0.2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2:12" ht="15.75" x14ac:dyDescent="0.25">
      <c r="B15" s="8"/>
      <c r="C15" s="10" t="s">
        <v>111</v>
      </c>
      <c r="D15" s="13"/>
      <c r="E15" s="13"/>
      <c r="F15" s="13"/>
      <c r="G15" s="13"/>
      <c r="H15" s="13"/>
      <c r="I15" s="13"/>
      <c r="J15" s="13"/>
      <c r="K15" s="13"/>
      <c r="L15" s="13"/>
    </row>
    <row r="16" spans="2:12" ht="15.75" x14ac:dyDescent="0.25">
      <c r="B16" s="8"/>
      <c r="C16" s="13"/>
      <c r="D16" s="11" t="s">
        <v>122</v>
      </c>
      <c r="E16" s="13"/>
      <c r="F16" s="13"/>
      <c r="G16" s="13"/>
      <c r="H16" s="13"/>
      <c r="I16" s="13"/>
      <c r="J16" s="13"/>
      <c r="K16" s="13"/>
      <c r="L16" s="13"/>
    </row>
    <row r="17" spans="2:12" ht="15.75" x14ac:dyDescent="0.25">
      <c r="B17" s="8"/>
      <c r="C17" s="13"/>
      <c r="D17" s="11" t="s">
        <v>123</v>
      </c>
      <c r="E17" s="13"/>
      <c r="F17" s="13"/>
      <c r="G17" s="13"/>
      <c r="H17" s="13"/>
      <c r="I17" s="13"/>
      <c r="J17" s="13"/>
      <c r="K17" s="13"/>
      <c r="L17" s="13"/>
    </row>
    <row r="18" spans="2:12" x14ac:dyDescent="0.2">
      <c r="B18" s="8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2:12" ht="15.75" x14ac:dyDescent="0.25">
      <c r="B19" s="8"/>
      <c r="C19" s="10" t="s">
        <v>112</v>
      </c>
      <c r="D19" s="13"/>
      <c r="E19" s="13"/>
      <c r="F19" s="13"/>
      <c r="G19" s="13"/>
      <c r="H19" s="13"/>
      <c r="I19" s="13"/>
      <c r="J19" s="13"/>
      <c r="K19" s="13"/>
      <c r="L19" s="13"/>
    </row>
    <row r="20" spans="2:12" ht="15.75" x14ac:dyDescent="0.25">
      <c r="B20" s="8"/>
      <c r="C20" s="13"/>
      <c r="D20" s="11" t="s">
        <v>124</v>
      </c>
      <c r="E20" s="13"/>
      <c r="F20" s="13"/>
      <c r="G20" s="13"/>
      <c r="H20" s="13"/>
      <c r="I20" s="13"/>
      <c r="J20" s="13"/>
      <c r="K20" s="13"/>
      <c r="L20" s="13"/>
    </row>
    <row r="21" spans="2:12" ht="15.75" x14ac:dyDescent="0.25">
      <c r="B21" s="8"/>
      <c r="C21" s="13"/>
      <c r="D21" s="11" t="s">
        <v>125</v>
      </c>
      <c r="E21" s="13"/>
      <c r="F21" s="13"/>
      <c r="G21" s="13"/>
      <c r="H21" s="13"/>
      <c r="I21" s="13"/>
      <c r="J21" s="13"/>
      <c r="K21" s="13"/>
      <c r="L21" s="13"/>
    </row>
    <row r="22" spans="2:12" x14ac:dyDescent="0.2">
      <c r="B22" s="8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2:12" ht="15.75" x14ac:dyDescent="0.25">
      <c r="B23" s="8"/>
      <c r="C23" s="10" t="s">
        <v>113</v>
      </c>
      <c r="D23" s="13"/>
      <c r="E23" s="13"/>
      <c r="F23" s="13"/>
      <c r="G23" s="13"/>
      <c r="H23" s="13"/>
      <c r="I23" s="13"/>
      <c r="J23" s="13"/>
      <c r="K23" s="13"/>
      <c r="L23" s="13"/>
    </row>
    <row r="24" spans="2:12" ht="15.75" x14ac:dyDescent="0.25">
      <c r="B24" s="8"/>
      <c r="C24" s="13"/>
      <c r="D24" s="11" t="s">
        <v>126</v>
      </c>
      <c r="E24" s="13"/>
      <c r="F24" s="13"/>
      <c r="G24" s="13"/>
      <c r="H24" s="13"/>
      <c r="I24" s="13"/>
      <c r="J24" s="13"/>
      <c r="K24" s="13"/>
      <c r="L24" s="13"/>
    </row>
    <row r="25" spans="2:12" ht="15.75" x14ac:dyDescent="0.25">
      <c r="B25" s="8"/>
      <c r="C25" s="13"/>
      <c r="D25" s="11" t="s">
        <v>127</v>
      </c>
      <c r="E25" s="13"/>
      <c r="F25" s="13"/>
      <c r="G25" s="13"/>
      <c r="H25" s="13"/>
      <c r="I25" s="13"/>
      <c r="J25" s="13"/>
      <c r="K25" s="13"/>
      <c r="L25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1DE0-0433-4A80-9FDE-B8204EC4E571}">
  <dimension ref="A1:W164"/>
  <sheetViews>
    <sheetView tabSelected="1" topLeftCell="A125" zoomScaleNormal="100" workbookViewId="0">
      <selection activeCell="D142" sqref="D142"/>
    </sheetView>
  </sheetViews>
  <sheetFormatPr defaultRowHeight="12.75" x14ac:dyDescent="0.2"/>
  <cols>
    <col min="1" max="1" width="15" style="36" bestFit="1" customWidth="1"/>
    <col min="2" max="2" width="18.5703125" bestFit="1" customWidth="1"/>
    <col min="3" max="3" width="16.85546875" bestFit="1" customWidth="1"/>
    <col min="4" max="4" width="13" bestFit="1" customWidth="1"/>
    <col min="5" max="5" width="13.140625" bestFit="1" customWidth="1"/>
    <col min="6" max="6" width="13.7109375" bestFit="1" customWidth="1"/>
    <col min="7" max="7" width="13.7109375" customWidth="1"/>
    <col min="8" max="8" width="16.42578125" bestFit="1" customWidth="1"/>
    <col min="9" max="9" width="15.28515625" style="24" customWidth="1"/>
    <col min="10" max="10" width="13.140625" style="24" customWidth="1"/>
    <col min="13" max="13" width="9.7109375" customWidth="1"/>
    <col min="14" max="14" width="10.140625" bestFit="1" customWidth="1"/>
  </cols>
  <sheetData>
    <row r="1" spans="1:23" ht="39" x14ac:dyDescent="0.25">
      <c r="A1" s="33" t="s">
        <v>9</v>
      </c>
      <c r="B1" s="14" t="s">
        <v>10</v>
      </c>
      <c r="C1" s="14" t="s">
        <v>11</v>
      </c>
      <c r="D1" s="14" t="s">
        <v>12</v>
      </c>
      <c r="E1" s="14" t="s">
        <v>13</v>
      </c>
      <c r="F1" s="14" t="s">
        <v>14</v>
      </c>
      <c r="G1" s="14" t="s">
        <v>141</v>
      </c>
      <c r="H1" s="14" t="s">
        <v>152</v>
      </c>
      <c r="I1" s="28" t="s">
        <v>145</v>
      </c>
      <c r="J1" s="31" t="s">
        <v>150</v>
      </c>
      <c r="L1" s="40" t="s">
        <v>114</v>
      </c>
      <c r="M1" s="41"/>
      <c r="N1" s="41"/>
    </row>
    <row r="2" spans="1:23" ht="15.75" customHeight="1" x14ac:dyDescent="0.25">
      <c r="A2" s="34" t="s">
        <v>16</v>
      </c>
      <c r="B2" s="16" t="s">
        <v>128</v>
      </c>
      <c r="C2" s="16" t="s">
        <v>18</v>
      </c>
      <c r="D2" s="16">
        <v>1000</v>
      </c>
      <c r="E2" s="16">
        <v>30</v>
      </c>
      <c r="F2" s="16" t="s">
        <v>19</v>
      </c>
      <c r="G2" s="23" t="str">
        <f t="shared" ref="G2:G32" si="0">PROPER(B2)</f>
        <v>Laptop</v>
      </c>
      <c r="H2" s="72">
        <v>46050</v>
      </c>
      <c r="I2" s="29" t="str">
        <f t="shared" ref="I2:I32" si="1">RIGHT(A2,2)</f>
        <v>US</v>
      </c>
      <c r="J2" s="17" t="str">
        <f t="shared" ref="J2:J32" si="2">TEXT(D2,"$#,##0.00")</f>
        <v>$1,000.00</v>
      </c>
      <c r="L2" s="6" t="s">
        <v>76</v>
      </c>
      <c r="M2" s="46" t="s">
        <v>115</v>
      </c>
      <c r="N2" s="46"/>
      <c r="O2" s="46"/>
      <c r="P2" s="46"/>
      <c r="Q2" s="46"/>
      <c r="R2" s="46"/>
      <c r="S2" s="46"/>
      <c r="T2" s="46"/>
      <c r="U2" s="22"/>
      <c r="V2" s="22"/>
      <c r="W2" s="22"/>
    </row>
    <row r="3" spans="1:23" x14ac:dyDescent="0.2">
      <c r="A3" s="35" t="s">
        <v>20</v>
      </c>
      <c r="B3" s="17" t="s">
        <v>21</v>
      </c>
      <c r="C3" s="17" t="s">
        <v>22</v>
      </c>
      <c r="D3" s="17">
        <v>80</v>
      </c>
      <c r="E3" s="17">
        <v>15</v>
      </c>
      <c r="F3" s="17" t="s">
        <v>23</v>
      </c>
      <c r="G3" s="17" t="str">
        <f t="shared" si="0"/>
        <v>Sneakers</v>
      </c>
      <c r="H3" s="72">
        <v>46068</v>
      </c>
      <c r="I3" s="30" t="str">
        <f t="shared" si="1"/>
        <v>US</v>
      </c>
      <c r="J3" s="17" t="str">
        <f t="shared" si="2"/>
        <v>$80.00</v>
      </c>
      <c r="M3" s="46"/>
      <c r="N3" s="46"/>
      <c r="O3" s="46"/>
      <c r="P3" s="46"/>
      <c r="Q3" s="46"/>
      <c r="R3" s="46"/>
      <c r="S3" s="46"/>
      <c r="T3" s="46"/>
    </row>
    <row r="4" spans="1:23" x14ac:dyDescent="0.2">
      <c r="A4" s="34" t="s">
        <v>25</v>
      </c>
      <c r="B4" s="16" t="s">
        <v>26</v>
      </c>
      <c r="C4" s="16" t="s">
        <v>27</v>
      </c>
      <c r="D4" s="16">
        <v>130</v>
      </c>
      <c r="E4" s="16">
        <v>40</v>
      </c>
      <c r="F4" s="16" t="s">
        <v>28</v>
      </c>
      <c r="G4" s="17" t="str">
        <f t="shared" si="0"/>
        <v>Coffee Maker</v>
      </c>
      <c r="H4" s="72">
        <v>46086</v>
      </c>
      <c r="I4" s="30" t="str">
        <f t="shared" si="1"/>
        <v>US</v>
      </c>
      <c r="J4" s="17" t="str">
        <f t="shared" si="2"/>
        <v>$130.00</v>
      </c>
      <c r="L4" s="5" t="s">
        <v>32</v>
      </c>
      <c r="M4" s="51">
        <f>COUNTBLANK(D2:D32)</f>
        <v>0</v>
      </c>
      <c r="N4" s="51"/>
      <c r="O4" s="49" t="s">
        <v>139</v>
      </c>
      <c r="P4" s="49"/>
    </row>
    <row r="5" spans="1:23" x14ac:dyDescent="0.2">
      <c r="A5" s="35" t="s">
        <v>29</v>
      </c>
      <c r="B5" s="17" t="s">
        <v>129</v>
      </c>
      <c r="C5" s="17" t="s">
        <v>31</v>
      </c>
      <c r="D5" s="17">
        <v>900</v>
      </c>
      <c r="E5" s="17">
        <v>25</v>
      </c>
      <c r="F5" s="17" t="s">
        <v>19</v>
      </c>
      <c r="G5" s="17" t="str">
        <f t="shared" si="0"/>
        <v>Smartphone</v>
      </c>
      <c r="H5" s="72">
        <v>46104</v>
      </c>
      <c r="I5" s="30" t="str">
        <f t="shared" si="1"/>
        <v>US</v>
      </c>
      <c r="J5" s="17" t="str">
        <f t="shared" si="2"/>
        <v>$900.00</v>
      </c>
      <c r="M5" s="43"/>
      <c r="N5" s="43"/>
      <c r="O5" s="50"/>
      <c r="P5" s="50"/>
    </row>
    <row r="6" spans="1:23" x14ac:dyDescent="0.2">
      <c r="A6" s="34" t="s">
        <v>33</v>
      </c>
      <c r="B6" s="16" t="s">
        <v>34</v>
      </c>
      <c r="C6" s="16" t="s">
        <v>35</v>
      </c>
      <c r="D6" s="16">
        <v>70</v>
      </c>
      <c r="E6" s="16">
        <v>20</v>
      </c>
      <c r="F6" s="16"/>
      <c r="G6" s="17" t="str">
        <f t="shared" si="0"/>
        <v>Backpack</v>
      </c>
      <c r="H6" s="72">
        <v>46122</v>
      </c>
      <c r="I6" s="30" t="str">
        <f t="shared" si="1"/>
        <v>US</v>
      </c>
      <c r="J6" s="17" t="str">
        <f t="shared" si="2"/>
        <v>$70.00</v>
      </c>
      <c r="M6" s="7"/>
      <c r="N6" s="7"/>
      <c r="O6" s="7"/>
      <c r="P6" s="7"/>
    </row>
    <row r="7" spans="1:23" x14ac:dyDescent="0.2">
      <c r="A7" s="35" t="s">
        <v>37</v>
      </c>
      <c r="B7" s="17" t="s">
        <v>38</v>
      </c>
      <c r="C7" s="17" t="s">
        <v>39</v>
      </c>
      <c r="D7" s="21">
        <v>309.39999999999998</v>
      </c>
      <c r="E7" s="17">
        <v>45</v>
      </c>
      <c r="F7" s="17" t="s">
        <v>19</v>
      </c>
      <c r="G7" s="17" t="str">
        <f t="shared" si="0"/>
        <v>Headphones</v>
      </c>
      <c r="H7" s="72">
        <v>46140</v>
      </c>
      <c r="I7" s="30" t="str">
        <f t="shared" si="1"/>
        <v>UK</v>
      </c>
      <c r="J7" s="17" t="str">
        <f t="shared" si="2"/>
        <v>$309.40</v>
      </c>
      <c r="M7" s="43">
        <f>AVERAGE(D:D)</f>
        <v>298.97419354838706</v>
      </c>
      <c r="N7" s="43"/>
      <c r="O7" s="48" t="s">
        <v>140</v>
      </c>
      <c r="P7" s="48"/>
    </row>
    <row r="8" spans="1:23" x14ac:dyDescent="0.2">
      <c r="A8" s="34" t="s">
        <v>40</v>
      </c>
      <c r="B8" s="16" t="s">
        <v>41</v>
      </c>
      <c r="C8" s="16" t="s">
        <v>42</v>
      </c>
      <c r="D8" s="16">
        <v>30</v>
      </c>
      <c r="E8" s="16">
        <v>5</v>
      </c>
      <c r="F8" s="16" t="s">
        <v>23</v>
      </c>
      <c r="G8" s="17" t="str">
        <f t="shared" si="0"/>
        <v>T-Shirt</v>
      </c>
      <c r="H8" s="72">
        <v>46158</v>
      </c>
      <c r="I8" s="30" t="str">
        <f t="shared" si="1"/>
        <v>UK</v>
      </c>
      <c r="J8" s="17" t="str">
        <f t="shared" si="2"/>
        <v>$30.00</v>
      </c>
      <c r="M8" s="43"/>
      <c r="N8" s="43"/>
      <c r="O8" s="48"/>
      <c r="P8" s="48"/>
    </row>
    <row r="9" spans="1:23" x14ac:dyDescent="0.2">
      <c r="A9" s="35" t="s">
        <v>45</v>
      </c>
      <c r="B9" s="17" t="s">
        <v>46</v>
      </c>
      <c r="C9" s="17" t="s">
        <v>47</v>
      </c>
      <c r="D9" s="17">
        <v>90</v>
      </c>
      <c r="E9" s="17">
        <v>35</v>
      </c>
      <c r="F9" s="17" t="s">
        <v>28</v>
      </c>
      <c r="G9" s="17" t="str">
        <f t="shared" si="0"/>
        <v>Blender</v>
      </c>
      <c r="H9" s="72">
        <v>46176</v>
      </c>
      <c r="I9" s="30" t="str">
        <f t="shared" si="1"/>
        <v>UK</v>
      </c>
      <c r="J9" s="17" t="str">
        <f t="shared" si="2"/>
        <v>$90.00</v>
      </c>
    </row>
    <row r="10" spans="1:23" ht="15.75" customHeight="1" x14ac:dyDescent="0.2">
      <c r="A10" s="34" t="s">
        <v>48</v>
      </c>
      <c r="B10" s="16" t="s">
        <v>49</v>
      </c>
      <c r="C10" s="16" t="s">
        <v>50</v>
      </c>
      <c r="D10" s="16">
        <v>500</v>
      </c>
      <c r="E10" s="16">
        <v>50</v>
      </c>
      <c r="F10" s="16" t="s">
        <v>19</v>
      </c>
      <c r="G10" s="17" t="str">
        <f t="shared" si="0"/>
        <v>Tablet</v>
      </c>
      <c r="H10" s="72">
        <v>46194</v>
      </c>
      <c r="I10" s="30" t="str">
        <f t="shared" si="1"/>
        <v>UK</v>
      </c>
      <c r="J10" s="17" t="str">
        <f t="shared" si="2"/>
        <v>$500.00</v>
      </c>
      <c r="L10" s="6" t="s">
        <v>43</v>
      </c>
      <c r="M10" s="45" t="s">
        <v>116</v>
      </c>
      <c r="N10" s="45"/>
      <c r="O10" s="45"/>
      <c r="P10" s="45"/>
      <c r="Q10" s="45"/>
      <c r="R10" s="45"/>
      <c r="S10" s="45"/>
      <c r="T10" s="45"/>
    </row>
    <row r="11" spans="1:23" x14ac:dyDescent="0.2">
      <c r="A11" s="35" t="s">
        <v>51</v>
      </c>
      <c r="B11" s="17" t="s">
        <v>52</v>
      </c>
      <c r="C11" s="17" t="s">
        <v>53</v>
      </c>
      <c r="D11" s="17">
        <v>130</v>
      </c>
      <c r="E11" s="17">
        <v>10</v>
      </c>
      <c r="F11" s="17" t="s">
        <v>36</v>
      </c>
      <c r="G11" s="17" t="str">
        <f t="shared" si="0"/>
        <v>Hiking Boots</v>
      </c>
      <c r="H11" s="72">
        <v>46212</v>
      </c>
      <c r="I11" s="30" t="str">
        <f t="shared" si="1"/>
        <v>UK</v>
      </c>
      <c r="J11" s="17" t="str">
        <f t="shared" si="2"/>
        <v>$130.00</v>
      </c>
      <c r="M11" s="45"/>
      <c r="N11" s="45"/>
      <c r="O11" s="45"/>
      <c r="P11" s="45"/>
      <c r="Q11" s="45"/>
      <c r="R11" s="45"/>
      <c r="S11" s="45"/>
      <c r="T11" s="45"/>
    </row>
    <row r="12" spans="1:23" x14ac:dyDescent="0.2">
      <c r="A12" s="34" t="s">
        <v>54</v>
      </c>
      <c r="B12" s="16" t="s">
        <v>17</v>
      </c>
      <c r="C12" s="16" t="s">
        <v>55</v>
      </c>
      <c r="D12" s="16">
        <v>950</v>
      </c>
      <c r="E12" s="16">
        <v>25</v>
      </c>
      <c r="F12" s="16" t="s">
        <v>19</v>
      </c>
      <c r="G12" s="17" t="str">
        <f t="shared" si="0"/>
        <v>Laptop</v>
      </c>
      <c r="H12" s="72">
        <v>46230</v>
      </c>
      <c r="I12" s="30" t="str">
        <f t="shared" si="1"/>
        <v>IN</v>
      </c>
      <c r="J12" s="17" t="str">
        <f t="shared" si="2"/>
        <v>$950.00</v>
      </c>
    </row>
    <row r="13" spans="1:23" x14ac:dyDescent="0.2">
      <c r="A13" s="35" t="s">
        <v>57</v>
      </c>
      <c r="B13" s="17" t="s">
        <v>21</v>
      </c>
      <c r="C13" s="17" t="s">
        <v>42</v>
      </c>
      <c r="D13" s="17">
        <v>90</v>
      </c>
      <c r="E13" s="17">
        <v>40</v>
      </c>
      <c r="F13" s="17" t="s">
        <v>23</v>
      </c>
      <c r="G13" s="17" t="str">
        <f t="shared" si="0"/>
        <v>Sneakers</v>
      </c>
      <c r="H13" s="72">
        <v>46248</v>
      </c>
      <c r="I13" s="30" t="str">
        <f t="shared" si="1"/>
        <v>AU</v>
      </c>
      <c r="J13" s="17" t="str">
        <f t="shared" si="2"/>
        <v>$90.00</v>
      </c>
      <c r="L13" s="43" t="s">
        <v>32</v>
      </c>
      <c r="M13" s="43">
        <f>COUNTBLANK(F2:F32)</f>
        <v>1</v>
      </c>
      <c r="N13" s="43"/>
      <c r="O13" s="43"/>
    </row>
    <row r="14" spans="1:23" x14ac:dyDescent="0.2">
      <c r="A14" s="34" t="s">
        <v>58</v>
      </c>
      <c r="B14" s="16" t="s">
        <v>26</v>
      </c>
      <c r="C14" s="16" t="s">
        <v>59</v>
      </c>
      <c r="D14" s="16">
        <v>120</v>
      </c>
      <c r="E14" s="16">
        <v>35</v>
      </c>
      <c r="F14" s="16" t="s">
        <v>19</v>
      </c>
      <c r="G14" s="17" t="str">
        <f t="shared" si="0"/>
        <v>Coffee Maker</v>
      </c>
      <c r="H14" s="72">
        <v>46266</v>
      </c>
      <c r="I14" s="30" t="str">
        <f t="shared" si="1"/>
        <v>DE</v>
      </c>
      <c r="J14" s="17" t="str">
        <f t="shared" si="2"/>
        <v>$120.00</v>
      </c>
      <c r="L14" s="43"/>
      <c r="M14" s="43"/>
      <c r="N14" s="43"/>
      <c r="O14" s="43"/>
    </row>
    <row r="15" spans="1:23" x14ac:dyDescent="0.2">
      <c r="A15" s="35" t="s">
        <v>60</v>
      </c>
      <c r="B15" s="17" t="s">
        <v>61</v>
      </c>
      <c r="C15" s="17" t="s">
        <v>62</v>
      </c>
      <c r="D15" s="17">
        <v>150</v>
      </c>
      <c r="E15" s="17">
        <v>15</v>
      </c>
      <c r="F15" s="17" t="s">
        <v>19</v>
      </c>
      <c r="G15" s="17" t="str">
        <f t="shared" si="0"/>
        <v>Smartwatch</v>
      </c>
      <c r="H15" s="72">
        <v>46284</v>
      </c>
      <c r="I15" s="30" t="str">
        <f t="shared" si="1"/>
        <v>CA</v>
      </c>
      <c r="J15" s="17" t="str">
        <f t="shared" si="2"/>
        <v>$150.00</v>
      </c>
    </row>
    <row r="16" spans="1:23" x14ac:dyDescent="0.2">
      <c r="A16" s="34" t="s">
        <v>63</v>
      </c>
      <c r="B16" s="16" t="s">
        <v>130</v>
      </c>
      <c r="C16" s="16" t="s">
        <v>64</v>
      </c>
      <c r="D16" s="16">
        <v>250</v>
      </c>
      <c r="E16" s="16">
        <v>20</v>
      </c>
      <c r="F16" s="17" t="s">
        <v>19</v>
      </c>
      <c r="G16" s="17" t="str">
        <f t="shared" si="0"/>
        <v>Headphones</v>
      </c>
      <c r="H16" s="72">
        <v>46302</v>
      </c>
      <c r="I16" s="30" t="str">
        <f t="shared" si="1"/>
        <v>ES</v>
      </c>
      <c r="J16" s="17" t="str">
        <f t="shared" si="2"/>
        <v>$250.00</v>
      </c>
    </row>
    <row r="17" spans="1:19" ht="15.75" x14ac:dyDescent="0.25">
      <c r="A17" s="35" t="s">
        <v>65</v>
      </c>
      <c r="B17" s="17" t="s">
        <v>66</v>
      </c>
      <c r="C17" s="17" t="s">
        <v>67</v>
      </c>
      <c r="D17" s="17">
        <v>50</v>
      </c>
      <c r="E17" s="17">
        <v>35</v>
      </c>
      <c r="F17" s="17" t="s">
        <v>68</v>
      </c>
      <c r="G17" s="17" t="str">
        <f t="shared" si="0"/>
        <v>Laptop Bag</v>
      </c>
      <c r="H17" s="72">
        <v>46320</v>
      </c>
      <c r="I17" s="30" t="str">
        <f t="shared" si="1"/>
        <v>CA</v>
      </c>
      <c r="J17" s="17" t="str">
        <f t="shared" si="2"/>
        <v>$50.00</v>
      </c>
      <c r="L17" s="47" t="s">
        <v>117</v>
      </c>
      <c r="M17" s="47"/>
      <c r="N17" s="47"/>
      <c r="O17" s="47"/>
    </row>
    <row r="18" spans="1:19" x14ac:dyDescent="0.2">
      <c r="A18" s="34" t="s">
        <v>69</v>
      </c>
      <c r="B18" s="16" t="s">
        <v>61</v>
      </c>
      <c r="C18" s="16" t="s">
        <v>70</v>
      </c>
      <c r="D18" s="16">
        <v>160</v>
      </c>
      <c r="E18" s="16">
        <v>15</v>
      </c>
      <c r="F18" s="17" t="s">
        <v>19</v>
      </c>
      <c r="G18" s="17" t="str">
        <f t="shared" si="0"/>
        <v>Smartwatch</v>
      </c>
      <c r="H18" s="72">
        <v>46338</v>
      </c>
      <c r="I18" s="30" t="str">
        <f t="shared" si="1"/>
        <v>CN</v>
      </c>
      <c r="J18" s="17" t="str">
        <f t="shared" si="2"/>
        <v>$160.00</v>
      </c>
    </row>
    <row r="19" spans="1:19" ht="15.75" customHeight="1" x14ac:dyDescent="0.2">
      <c r="A19" s="35" t="s">
        <v>71</v>
      </c>
      <c r="B19" s="17" t="s">
        <v>128</v>
      </c>
      <c r="C19" s="17" t="s">
        <v>72</v>
      </c>
      <c r="D19" s="17">
        <v>980</v>
      </c>
      <c r="E19" s="17">
        <v>10</v>
      </c>
      <c r="F19" s="17" t="s">
        <v>19</v>
      </c>
      <c r="G19" s="17" t="str">
        <f t="shared" si="0"/>
        <v>Laptop</v>
      </c>
      <c r="H19" s="72">
        <v>46356</v>
      </c>
      <c r="I19" s="30" t="str">
        <f t="shared" si="1"/>
        <v>IT</v>
      </c>
      <c r="J19" s="17" t="str">
        <f t="shared" si="2"/>
        <v>$980.00</v>
      </c>
      <c r="L19" s="6" t="s">
        <v>76</v>
      </c>
      <c r="M19" s="45" t="s">
        <v>118</v>
      </c>
      <c r="N19" s="45"/>
      <c r="O19" s="45"/>
      <c r="P19" s="45"/>
      <c r="Q19" s="45"/>
      <c r="R19" s="45"/>
      <c r="S19" s="45"/>
    </row>
    <row r="20" spans="1:19" x14ac:dyDescent="0.2">
      <c r="A20" s="34" t="s">
        <v>73</v>
      </c>
      <c r="B20" s="16" t="s">
        <v>74</v>
      </c>
      <c r="C20" s="16" t="s">
        <v>75</v>
      </c>
      <c r="D20" s="16">
        <v>150</v>
      </c>
      <c r="E20" s="16">
        <v>15</v>
      </c>
      <c r="F20" s="16" t="s">
        <v>23</v>
      </c>
      <c r="G20" s="17" t="str">
        <f t="shared" si="0"/>
        <v>Sunglasses</v>
      </c>
      <c r="H20" s="72">
        <v>46374</v>
      </c>
      <c r="I20" s="30" t="str">
        <f t="shared" si="1"/>
        <v>UK</v>
      </c>
      <c r="J20" s="17" t="str">
        <f t="shared" si="2"/>
        <v>$150.00</v>
      </c>
      <c r="M20" s="45"/>
      <c r="N20" s="45"/>
      <c r="O20" s="45"/>
      <c r="P20" s="45"/>
      <c r="Q20" s="45"/>
      <c r="R20" s="45"/>
      <c r="S20" s="45"/>
    </row>
    <row r="21" spans="1:19" x14ac:dyDescent="0.2">
      <c r="A21" s="35" t="s">
        <v>77</v>
      </c>
      <c r="B21" s="17" t="s">
        <v>78</v>
      </c>
      <c r="C21" s="17" t="s">
        <v>79</v>
      </c>
      <c r="D21" s="21">
        <v>309.39999999999998</v>
      </c>
      <c r="E21" s="17">
        <v>10</v>
      </c>
      <c r="F21" s="17" t="s">
        <v>36</v>
      </c>
      <c r="G21" s="17" t="str">
        <f t="shared" si="0"/>
        <v>Camping Tent</v>
      </c>
      <c r="H21" s="72">
        <v>46392</v>
      </c>
      <c r="I21" s="30" t="str">
        <f t="shared" si="1"/>
        <v>US</v>
      </c>
      <c r="J21" s="17" t="str">
        <f t="shared" si="2"/>
        <v>$309.40</v>
      </c>
      <c r="M21" s="45"/>
      <c r="N21" s="45"/>
      <c r="O21" s="45"/>
      <c r="P21" s="45"/>
      <c r="Q21" s="45"/>
      <c r="R21" s="45"/>
      <c r="S21" s="45"/>
    </row>
    <row r="22" spans="1:19" x14ac:dyDescent="0.2">
      <c r="A22" s="34" t="s">
        <v>80</v>
      </c>
      <c r="B22" s="16" t="s">
        <v>81</v>
      </c>
      <c r="C22" s="16" t="s">
        <v>82</v>
      </c>
      <c r="D22" s="16">
        <v>700</v>
      </c>
      <c r="E22" s="16">
        <v>50</v>
      </c>
      <c r="F22" s="16" t="s">
        <v>19</v>
      </c>
      <c r="G22" s="17" t="str">
        <f t="shared" si="0"/>
        <v>Camera</v>
      </c>
      <c r="H22" s="72">
        <v>46410</v>
      </c>
      <c r="I22" s="30" t="str">
        <f t="shared" si="1"/>
        <v>RU</v>
      </c>
      <c r="J22" s="17" t="str">
        <f t="shared" si="2"/>
        <v>$700.00</v>
      </c>
    </row>
    <row r="23" spans="1:19" x14ac:dyDescent="0.2">
      <c r="A23" s="35" t="s">
        <v>83</v>
      </c>
      <c r="B23" s="17" t="s">
        <v>84</v>
      </c>
      <c r="C23" s="17" t="s">
        <v>85</v>
      </c>
      <c r="D23" s="17">
        <v>80</v>
      </c>
      <c r="E23" s="17">
        <v>20</v>
      </c>
      <c r="F23" s="17" t="s">
        <v>28</v>
      </c>
      <c r="G23" s="17" t="str">
        <f t="shared" si="0"/>
        <v>Microwave</v>
      </c>
      <c r="H23" s="72">
        <v>46428</v>
      </c>
      <c r="I23" s="30" t="str">
        <f t="shared" si="1"/>
        <v>CA</v>
      </c>
      <c r="J23" s="17" t="str">
        <f t="shared" si="2"/>
        <v>$80.00</v>
      </c>
    </row>
    <row r="24" spans="1:19" x14ac:dyDescent="0.2">
      <c r="A24" s="34" t="s">
        <v>86</v>
      </c>
      <c r="B24" s="16" t="s">
        <v>87</v>
      </c>
      <c r="C24" s="16" t="s">
        <v>88</v>
      </c>
      <c r="D24" s="16">
        <v>150</v>
      </c>
      <c r="E24" s="16">
        <v>30</v>
      </c>
      <c r="F24" s="16" t="s">
        <v>23</v>
      </c>
      <c r="G24" s="17" t="str">
        <f t="shared" si="0"/>
        <v>Fitness Tracker</v>
      </c>
      <c r="H24" s="72">
        <v>46446</v>
      </c>
      <c r="I24" s="30" t="str">
        <f t="shared" si="1"/>
        <v>BR</v>
      </c>
      <c r="J24" s="17" t="str">
        <f t="shared" si="2"/>
        <v>$150.00</v>
      </c>
      <c r="L24" s="44" t="s">
        <v>32</v>
      </c>
      <c r="M24" s="43" t="s">
        <v>142</v>
      </c>
      <c r="N24" s="43"/>
      <c r="O24" s="43"/>
    </row>
    <row r="25" spans="1:19" x14ac:dyDescent="0.2">
      <c r="A25" s="34" t="s">
        <v>90</v>
      </c>
      <c r="B25" s="16" t="s">
        <v>30</v>
      </c>
      <c r="C25" s="16" t="s">
        <v>91</v>
      </c>
      <c r="D25" s="16">
        <v>800</v>
      </c>
      <c r="E25" s="16">
        <v>45</v>
      </c>
      <c r="F25" s="16" t="s">
        <v>19</v>
      </c>
      <c r="G25" s="17" t="str">
        <f t="shared" si="0"/>
        <v>Smartphone</v>
      </c>
      <c r="H25" s="72">
        <v>46464</v>
      </c>
      <c r="I25" s="30" t="str">
        <f t="shared" si="1"/>
        <v>CA</v>
      </c>
      <c r="J25" s="17" t="str">
        <f t="shared" si="2"/>
        <v>$800.00</v>
      </c>
      <c r="L25" s="44"/>
      <c r="M25" s="43"/>
      <c r="N25" s="43"/>
      <c r="O25" s="43"/>
    </row>
    <row r="26" spans="1:19" x14ac:dyDescent="0.2">
      <c r="A26" s="35" t="s">
        <v>92</v>
      </c>
      <c r="B26" s="17" t="s">
        <v>74</v>
      </c>
      <c r="C26" s="17" t="s">
        <v>93</v>
      </c>
      <c r="D26" s="25">
        <v>309.39999999999998</v>
      </c>
      <c r="E26" s="17">
        <v>25</v>
      </c>
      <c r="F26" s="17" t="s">
        <v>23</v>
      </c>
      <c r="G26" s="17" t="str">
        <f t="shared" si="0"/>
        <v>Sunglasses</v>
      </c>
      <c r="H26" s="72">
        <v>46482</v>
      </c>
      <c r="I26" s="30" t="str">
        <f t="shared" si="1"/>
        <v>CA</v>
      </c>
      <c r="J26" s="17" t="str">
        <f t="shared" si="2"/>
        <v>$309.40</v>
      </c>
    </row>
    <row r="27" spans="1:19" ht="15.75" x14ac:dyDescent="0.25">
      <c r="A27" s="34" t="s">
        <v>94</v>
      </c>
      <c r="B27" s="16" t="s">
        <v>46</v>
      </c>
      <c r="C27" s="16" t="s">
        <v>95</v>
      </c>
      <c r="D27" s="13">
        <v>400</v>
      </c>
      <c r="E27" s="16">
        <v>40</v>
      </c>
      <c r="F27" s="16" t="s">
        <v>28</v>
      </c>
      <c r="G27" s="17" t="str">
        <f t="shared" si="0"/>
        <v>Blender</v>
      </c>
      <c r="H27" s="72">
        <v>46500</v>
      </c>
      <c r="I27" s="30" t="str">
        <f t="shared" si="1"/>
        <v>CA</v>
      </c>
      <c r="J27" s="17" t="str">
        <f t="shared" si="2"/>
        <v>$400.00</v>
      </c>
      <c r="L27" s="6" t="s">
        <v>43</v>
      </c>
      <c r="M27" s="42" t="s">
        <v>119</v>
      </c>
      <c r="N27" s="42"/>
      <c r="O27" s="42"/>
      <c r="P27" s="42"/>
      <c r="Q27" s="42"/>
    </row>
    <row r="28" spans="1:19" x14ac:dyDescent="0.2">
      <c r="A28" s="34" t="s">
        <v>96</v>
      </c>
      <c r="B28" s="16" t="s">
        <v>97</v>
      </c>
      <c r="C28" s="16" t="s">
        <v>98</v>
      </c>
      <c r="D28" s="16">
        <v>60</v>
      </c>
      <c r="E28" s="16">
        <v>30</v>
      </c>
      <c r="F28" s="16" t="s">
        <v>23</v>
      </c>
      <c r="G28" s="17" t="str">
        <f t="shared" si="0"/>
        <v>Dress</v>
      </c>
      <c r="H28" s="72">
        <v>46518</v>
      </c>
      <c r="I28" s="30" t="str">
        <f t="shared" si="1"/>
        <v>CA</v>
      </c>
      <c r="J28" s="17" t="str">
        <f t="shared" si="2"/>
        <v>$60.00</v>
      </c>
    </row>
    <row r="29" spans="1:19" x14ac:dyDescent="0.2">
      <c r="A29" s="35" t="s">
        <v>99</v>
      </c>
      <c r="B29" s="17" t="s">
        <v>100</v>
      </c>
      <c r="C29" s="17" t="s">
        <v>101</v>
      </c>
      <c r="D29" s="17">
        <v>40</v>
      </c>
      <c r="E29" s="17">
        <v>10</v>
      </c>
      <c r="F29" s="17" t="s">
        <v>28</v>
      </c>
      <c r="G29" s="17" t="str">
        <f t="shared" si="0"/>
        <v>Toaster</v>
      </c>
      <c r="H29" s="72">
        <v>46536</v>
      </c>
      <c r="I29" s="30" t="str">
        <f t="shared" si="1"/>
        <v>CA</v>
      </c>
      <c r="J29" s="17" t="str">
        <f t="shared" si="2"/>
        <v>$40.00</v>
      </c>
      <c r="L29" s="43" t="s">
        <v>32</v>
      </c>
      <c r="M29" s="43"/>
      <c r="N29" s="43"/>
      <c r="O29" s="43"/>
    </row>
    <row r="30" spans="1:19" x14ac:dyDescent="0.2">
      <c r="A30" s="34" t="s">
        <v>102</v>
      </c>
      <c r="B30" s="16" t="s">
        <v>87</v>
      </c>
      <c r="C30" s="16" t="s">
        <v>103</v>
      </c>
      <c r="D30" s="16">
        <v>130</v>
      </c>
      <c r="E30" s="16">
        <v>5</v>
      </c>
      <c r="F30" s="16" t="s">
        <v>19</v>
      </c>
      <c r="G30" s="17" t="str">
        <f t="shared" si="0"/>
        <v>Fitness Tracker</v>
      </c>
      <c r="H30" s="72">
        <v>46554</v>
      </c>
      <c r="I30" s="30" t="str">
        <f t="shared" si="1"/>
        <v>CA</v>
      </c>
      <c r="J30" s="17" t="str">
        <f t="shared" si="2"/>
        <v>$130.00</v>
      </c>
      <c r="L30" s="43"/>
      <c r="M30" s="43"/>
      <c r="N30" s="43"/>
      <c r="O30" s="43"/>
    </row>
    <row r="31" spans="1:19" x14ac:dyDescent="0.2">
      <c r="A31" s="35" t="s">
        <v>104</v>
      </c>
      <c r="B31" s="17" t="s">
        <v>105</v>
      </c>
      <c r="C31" s="17" t="s">
        <v>106</v>
      </c>
      <c r="D31" s="17">
        <v>50</v>
      </c>
      <c r="E31" s="17">
        <v>50</v>
      </c>
      <c r="F31" s="17" t="s">
        <v>23</v>
      </c>
      <c r="G31" s="17" t="str">
        <f t="shared" si="0"/>
        <v>Jeans</v>
      </c>
      <c r="H31" s="72">
        <v>46572</v>
      </c>
      <c r="I31" s="30" t="str">
        <f t="shared" si="1"/>
        <v>CA</v>
      </c>
      <c r="J31" s="17" t="str">
        <f t="shared" si="2"/>
        <v>$50.00</v>
      </c>
    </row>
    <row r="32" spans="1:19" x14ac:dyDescent="0.2">
      <c r="A32" s="35" t="s">
        <v>107</v>
      </c>
      <c r="B32" s="17" t="s">
        <v>108</v>
      </c>
      <c r="C32" s="17" t="s">
        <v>109</v>
      </c>
      <c r="D32" s="17">
        <v>100</v>
      </c>
      <c r="E32" s="17">
        <v>20</v>
      </c>
      <c r="F32" s="17" t="s">
        <v>68</v>
      </c>
      <c r="G32" s="17" t="str">
        <f t="shared" si="0"/>
        <v>Watch</v>
      </c>
      <c r="H32" s="72">
        <v>46590</v>
      </c>
      <c r="I32" s="30" t="str">
        <f t="shared" si="1"/>
        <v>FR</v>
      </c>
      <c r="J32" s="17" t="str">
        <f t="shared" si="2"/>
        <v>$100.00</v>
      </c>
    </row>
    <row r="33" spans="1:14" x14ac:dyDescent="0.2">
      <c r="H33" s="26"/>
    </row>
    <row r="34" spans="1:14" x14ac:dyDescent="0.2">
      <c r="H34" s="27"/>
    </row>
    <row r="35" spans="1:14" ht="15.75" x14ac:dyDescent="0.25">
      <c r="A35" s="54" t="s">
        <v>110</v>
      </c>
      <c r="B35" s="55"/>
      <c r="C35" s="56"/>
      <c r="H35" s="26"/>
    </row>
    <row r="46" spans="1:14" ht="15.75" x14ac:dyDescent="0.25">
      <c r="L46" s="53"/>
      <c r="M46" s="53"/>
      <c r="N46" s="53"/>
    </row>
    <row r="66" spans="2:16" x14ac:dyDescent="0.2">
      <c r="B66" s="57" t="s">
        <v>144</v>
      </c>
      <c r="C66" s="57"/>
      <c r="D66" s="57"/>
      <c r="E66" s="57"/>
      <c r="F66" s="57"/>
      <c r="G66" s="57"/>
      <c r="H66" s="57"/>
    </row>
    <row r="67" spans="2:16" x14ac:dyDescent="0.2">
      <c r="B67" s="57"/>
      <c r="C67" s="57"/>
      <c r="D67" s="57"/>
      <c r="E67" s="57"/>
      <c r="F67" s="57"/>
      <c r="G67" s="57"/>
      <c r="H67" s="57"/>
    </row>
    <row r="68" spans="2:16" x14ac:dyDescent="0.2">
      <c r="B68" s="57"/>
      <c r="C68" s="57"/>
      <c r="D68" s="57"/>
      <c r="E68" s="57"/>
      <c r="F68" s="57"/>
      <c r="G68" s="57"/>
      <c r="H68" s="57"/>
    </row>
    <row r="71" spans="2:16" ht="15.75" x14ac:dyDescent="0.25">
      <c r="B71" s="58" t="s">
        <v>111</v>
      </c>
      <c r="C71" s="58"/>
      <c r="D71" s="58"/>
      <c r="I71"/>
      <c r="J71"/>
    </row>
    <row r="72" spans="2:16" x14ac:dyDescent="0.2">
      <c r="I72"/>
      <c r="J72"/>
    </row>
    <row r="73" spans="2:16" ht="15.75" customHeight="1" x14ac:dyDescent="0.25">
      <c r="B73" s="6" t="s">
        <v>76</v>
      </c>
      <c r="C73" s="46" t="s">
        <v>122</v>
      </c>
      <c r="D73" s="46"/>
      <c r="E73" s="46"/>
      <c r="F73" s="46"/>
      <c r="G73" s="46"/>
      <c r="H73" s="61"/>
      <c r="I73" s="22"/>
      <c r="J73" s="22"/>
      <c r="K73" s="22"/>
      <c r="L73" s="22"/>
      <c r="M73" s="22"/>
      <c r="N73" s="22"/>
      <c r="O73" s="22"/>
      <c r="P73" s="22"/>
    </row>
    <row r="74" spans="2:16" x14ac:dyDescent="0.2">
      <c r="C74" s="46"/>
      <c r="D74" s="46"/>
      <c r="E74" s="46"/>
      <c r="F74" s="46"/>
      <c r="G74" s="46"/>
      <c r="H74" s="46"/>
      <c r="I74"/>
      <c r="J74"/>
    </row>
    <row r="75" spans="2:16" x14ac:dyDescent="0.2">
      <c r="B75" s="5" t="s">
        <v>32</v>
      </c>
      <c r="C75" s="46"/>
      <c r="D75" s="46"/>
      <c r="E75" s="46"/>
      <c r="F75" s="46"/>
      <c r="G75" s="46"/>
      <c r="H75" s="46"/>
      <c r="I75"/>
      <c r="J75"/>
    </row>
    <row r="76" spans="2:16" x14ac:dyDescent="0.2">
      <c r="I76"/>
      <c r="J76"/>
    </row>
    <row r="77" spans="2:16" x14ac:dyDescent="0.2">
      <c r="I77"/>
      <c r="J77"/>
    </row>
    <row r="78" spans="2:16" x14ac:dyDescent="0.2">
      <c r="I78"/>
      <c r="J78"/>
    </row>
    <row r="79" spans="2:16" x14ac:dyDescent="0.2">
      <c r="I79"/>
      <c r="J79"/>
    </row>
    <row r="80" spans="2:16" x14ac:dyDescent="0.2">
      <c r="I80"/>
      <c r="J80"/>
    </row>
    <row r="81" spans="9:16" x14ac:dyDescent="0.2">
      <c r="I81"/>
      <c r="J81"/>
    </row>
    <row r="82" spans="9:16" x14ac:dyDescent="0.2">
      <c r="I82"/>
      <c r="J82"/>
    </row>
    <row r="83" spans="9:16" x14ac:dyDescent="0.2">
      <c r="I83"/>
      <c r="J83"/>
    </row>
    <row r="84" spans="9:16" x14ac:dyDescent="0.2">
      <c r="I84"/>
      <c r="J84"/>
    </row>
    <row r="85" spans="9:16" x14ac:dyDescent="0.2">
      <c r="I85"/>
      <c r="J85"/>
    </row>
    <row r="86" spans="9:16" x14ac:dyDescent="0.2">
      <c r="I86"/>
      <c r="J86"/>
    </row>
    <row r="87" spans="9:16" x14ac:dyDescent="0.2">
      <c r="I87"/>
      <c r="J87"/>
      <c r="N87" s="59" t="s">
        <v>146</v>
      </c>
      <c r="O87" s="59"/>
    </row>
    <row r="88" spans="9:16" x14ac:dyDescent="0.2">
      <c r="I88"/>
      <c r="J88"/>
    </row>
    <row r="89" spans="9:16" x14ac:dyDescent="0.2">
      <c r="I89"/>
      <c r="J89"/>
      <c r="M89" s="59" t="s">
        <v>148</v>
      </c>
      <c r="N89" s="59"/>
      <c r="O89" s="59"/>
      <c r="P89" s="59"/>
    </row>
    <row r="90" spans="9:16" x14ac:dyDescent="0.2">
      <c r="I90"/>
      <c r="J90"/>
      <c r="M90" s="59"/>
      <c r="N90" s="59"/>
      <c r="O90" s="59"/>
      <c r="P90" s="59"/>
    </row>
    <row r="91" spans="9:16" x14ac:dyDescent="0.2">
      <c r="I91"/>
      <c r="J91"/>
    </row>
    <row r="92" spans="9:16" x14ac:dyDescent="0.2">
      <c r="I92"/>
      <c r="J92"/>
    </row>
    <row r="93" spans="9:16" x14ac:dyDescent="0.2">
      <c r="I93"/>
      <c r="J93"/>
    </row>
    <row r="94" spans="9:16" x14ac:dyDescent="0.2">
      <c r="I94"/>
      <c r="J94"/>
    </row>
    <row r="95" spans="9:16" x14ac:dyDescent="0.2">
      <c r="I95"/>
      <c r="J95"/>
    </row>
    <row r="96" spans="9:16" x14ac:dyDescent="0.2">
      <c r="I96"/>
      <c r="J96"/>
    </row>
    <row r="97" spans="1:11" x14ac:dyDescent="0.2">
      <c r="I97"/>
      <c r="J97"/>
    </row>
    <row r="98" spans="1:11" x14ac:dyDescent="0.2">
      <c r="I98"/>
      <c r="J98"/>
    </row>
    <row r="99" spans="1:11" x14ac:dyDescent="0.2">
      <c r="I99"/>
      <c r="J99"/>
    </row>
    <row r="100" spans="1:11" x14ac:dyDescent="0.2">
      <c r="I100"/>
      <c r="J100"/>
    </row>
    <row r="101" spans="1:11" x14ac:dyDescent="0.2">
      <c r="I101"/>
      <c r="J101"/>
    </row>
    <row r="102" spans="1:11" x14ac:dyDescent="0.2">
      <c r="H102" s="60" t="s">
        <v>149</v>
      </c>
      <c r="I102" s="59"/>
      <c r="J102" s="59"/>
      <c r="K102" s="59"/>
    </row>
    <row r="103" spans="1:11" x14ac:dyDescent="0.2">
      <c r="H103" s="59"/>
      <c r="I103" s="59"/>
      <c r="J103" s="59"/>
      <c r="K103" s="59"/>
    </row>
    <row r="104" spans="1:11" x14ac:dyDescent="0.2">
      <c r="I104"/>
      <c r="J104"/>
    </row>
    <row r="105" spans="1:11" x14ac:dyDescent="0.2">
      <c r="I105" s="59" t="s">
        <v>147</v>
      </c>
      <c r="J105" s="59"/>
    </row>
    <row r="106" spans="1:11" x14ac:dyDescent="0.2">
      <c r="I106"/>
      <c r="J106"/>
    </row>
    <row r="109" spans="1:11" ht="15.75" x14ac:dyDescent="0.25">
      <c r="A109" s="52" t="s">
        <v>112</v>
      </c>
      <c r="B109" s="52"/>
      <c r="C109" s="52"/>
      <c r="I109"/>
      <c r="J109"/>
    </row>
    <row r="110" spans="1:11" x14ac:dyDescent="0.2">
      <c r="A110"/>
      <c r="I110"/>
      <c r="J110"/>
    </row>
    <row r="111" spans="1:11" ht="15.75" x14ac:dyDescent="0.25">
      <c r="A111" s="6" t="s">
        <v>76</v>
      </c>
      <c r="B111" s="42" t="s">
        <v>124</v>
      </c>
      <c r="C111" s="42"/>
      <c r="D111" s="42"/>
      <c r="E111" s="42"/>
      <c r="F111" s="42"/>
      <c r="G111" s="42"/>
      <c r="I111"/>
      <c r="J111"/>
    </row>
    <row r="112" spans="1:11" x14ac:dyDescent="0.2">
      <c r="A112"/>
      <c r="I112"/>
      <c r="J112"/>
    </row>
    <row r="113" spans="1:10" x14ac:dyDescent="0.2">
      <c r="A113" s="32" t="s">
        <v>32</v>
      </c>
      <c r="B113" s="43"/>
      <c r="C113" s="43"/>
      <c r="D113" s="43"/>
      <c r="E113" s="43"/>
      <c r="F113" s="43"/>
      <c r="G113" s="43"/>
      <c r="I113"/>
      <c r="J113"/>
    </row>
    <row r="114" spans="1:10" x14ac:dyDescent="0.2">
      <c r="A114"/>
      <c r="I114"/>
      <c r="J114"/>
    </row>
    <row r="115" spans="1:10" x14ac:dyDescent="0.2">
      <c r="A115"/>
      <c r="I115"/>
      <c r="J115"/>
    </row>
    <row r="116" spans="1:10" x14ac:dyDescent="0.2">
      <c r="A116"/>
      <c r="I116"/>
      <c r="J116"/>
    </row>
    <row r="117" spans="1:10" x14ac:dyDescent="0.2">
      <c r="A117"/>
      <c r="I117"/>
      <c r="J117"/>
    </row>
    <row r="118" spans="1:10" x14ac:dyDescent="0.2">
      <c r="A118"/>
      <c r="I118"/>
      <c r="J118"/>
    </row>
    <row r="119" spans="1:10" x14ac:dyDescent="0.2">
      <c r="A119"/>
      <c r="I119"/>
      <c r="J119"/>
    </row>
    <row r="120" spans="1:10" x14ac:dyDescent="0.2">
      <c r="A120"/>
      <c r="I120"/>
      <c r="J120"/>
    </row>
    <row r="121" spans="1:10" x14ac:dyDescent="0.2">
      <c r="A121"/>
      <c r="I121"/>
      <c r="J121"/>
    </row>
    <row r="122" spans="1:10" x14ac:dyDescent="0.2">
      <c r="A122"/>
      <c r="I122"/>
      <c r="J122"/>
    </row>
    <row r="123" spans="1:10" x14ac:dyDescent="0.2">
      <c r="A123"/>
      <c r="I123"/>
      <c r="J123"/>
    </row>
    <row r="124" spans="1:10" x14ac:dyDescent="0.2">
      <c r="A124"/>
      <c r="I124"/>
      <c r="J124"/>
    </row>
    <row r="125" spans="1:10" x14ac:dyDescent="0.2">
      <c r="A125"/>
      <c r="I125"/>
      <c r="J125"/>
    </row>
    <row r="126" spans="1:10" x14ac:dyDescent="0.2">
      <c r="A126"/>
      <c r="I126"/>
      <c r="J126"/>
    </row>
    <row r="127" spans="1:10" x14ac:dyDescent="0.2">
      <c r="A127"/>
      <c r="I127"/>
      <c r="J127"/>
    </row>
    <row r="128" spans="1:10" x14ac:dyDescent="0.2">
      <c r="A128"/>
      <c r="I128"/>
      <c r="J128"/>
    </row>
    <row r="129" spans="1:14" x14ac:dyDescent="0.2">
      <c r="A129"/>
      <c r="H129" s="44" t="s">
        <v>151</v>
      </c>
      <c r="I129" s="44"/>
      <c r="J129"/>
      <c r="N129" s="37"/>
    </row>
    <row r="130" spans="1:14" x14ac:dyDescent="0.2">
      <c r="A130"/>
      <c r="I130"/>
      <c r="J130"/>
    </row>
    <row r="131" spans="1:14" x14ac:dyDescent="0.2">
      <c r="A131"/>
      <c r="I131"/>
      <c r="J131"/>
    </row>
    <row r="132" spans="1:14" x14ac:dyDescent="0.2">
      <c r="A132"/>
      <c r="I132"/>
      <c r="J132"/>
    </row>
    <row r="133" spans="1:14" x14ac:dyDescent="0.2">
      <c r="A133"/>
      <c r="I133"/>
      <c r="J133"/>
    </row>
    <row r="134" spans="1:14" x14ac:dyDescent="0.2">
      <c r="A134"/>
      <c r="I134"/>
      <c r="J134"/>
    </row>
    <row r="135" spans="1:14" x14ac:dyDescent="0.2">
      <c r="A135"/>
      <c r="I135"/>
      <c r="J135"/>
    </row>
    <row r="136" spans="1:14" ht="15.75" x14ac:dyDescent="0.25">
      <c r="A136" s="6" t="s">
        <v>43</v>
      </c>
      <c r="B136" s="62" t="s">
        <v>125</v>
      </c>
      <c r="C136" s="62"/>
      <c r="D136" s="62"/>
      <c r="E136" s="62"/>
      <c r="F136" s="62"/>
      <c r="G136" s="62"/>
      <c r="H136" s="62"/>
      <c r="I136" s="62"/>
      <c r="J136" s="62"/>
    </row>
    <row r="137" spans="1:14" x14ac:dyDescent="0.2">
      <c r="A137"/>
      <c r="I137"/>
      <c r="J137"/>
    </row>
    <row r="138" spans="1:14" x14ac:dyDescent="0.2">
      <c r="A138" s="5" t="s">
        <v>32</v>
      </c>
      <c r="B138" s="73" t="s">
        <v>153</v>
      </c>
      <c r="C138" s="73"/>
      <c r="I138"/>
      <c r="J138"/>
    </row>
    <row r="139" spans="1:14" x14ac:dyDescent="0.2">
      <c r="A139"/>
      <c r="B139" s="73"/>
      <c r="C139" s="73"/>
      <c r="I139"/>
      <c r="J139"/>
    </row>
    <row r="140" spans="1:14" x14ac:dyDescent="0.2">
      <c r="A140"/>
      <c r="B140" s="73"/>
      <c r="C140" s="73"/>
      <c r="I140"/>
      <c r="J140"/>
    </row>
    <row r="141" spans="1:14" x14ac:dyDescent="0.2">
      <c r="A141"/>
      <c r="B141" s="73"/>
      <c r="C141" s="73"/>
      <c r="I141"/>
      <c r="J141"/>
    </row>
    <row r="142" spans="1:14" x14ac:dyDescent="0.2">
      <c r="A142"/>
      <c r="I142"/>
      <c r="J142"/>
    </row>
    <row r="143" spans="1:14" x14ac:dyDescent="0.2">
      <c r="A143"/>
      <c r="I143"/>
      <c r="J143"/>
    </row>
    <row r="144" spans="1:14" x14ac:dyDescent="0.2">
      <c r="A144"/>
      <c r="I144"/>
      <c r="J144"/>
    </row>
    <row r="145" spans="1:10" x14ac:dyDescent="0.2">
      <c r="A145"/>
      <c r="I145"/>
      <c r="J145"/>
    </row>
    <row r="146" spans="1:10" x14ac:dyDescent="0.2">
      <c r="A146"/>
      <c r="I146"/>
      <c r="J146"/>
    </row>
    <row r="147" spans="1:10" x14ac:dyDescent="0.2">
      <c r="A147"/>
      <c r="I147"/>
      <c r="J147"/>
    </row>
    <row r="148" spans="1:10" x14ac:dyDescent="0.2">
      <c r="A148"/>
      <c r="I148"/>
      <c r="J148"/>
    </row>
    <row r="149" spans="1:10" x14ac:dyDescent="0.2">
      <c r="A149"/>
      <c r="I149"/>
      <c r="J149"/>
    </row>
    <row r="150" spans="1:10" x14ac:dyDescent="0.2">
      <c r="A150"/>
      <c r="I150"/>
      <c r="J150"/>
    </row>
    <row r="151" spans="1:10" x14ac:dyDescent="0.2">
      <c r="A151"/>
      <c r="I151"/>
      <c r="J151"/>
    </row>
    <row r="152" spans="1:10" x14ac:dyDescent="0.2">
      <c r="A152"/>
      <c r="I152"/>
      <c r="J152"/>
    </row>
    <row r="153" spans="1:10" x14ac:dyDescent="0.2">
      <c r="A153"/>
      <c r="I153"/>
      <c r="J153"/>
    </row>
    <row r="154" spans="1:10" x14ac:dyDescent="0.2">
      <c r="A154"/>
      <c r="I154"/>
      <c r="J154"/>
    </row>
    <row r="155" spans="1:10" x14ac:dyDescent="0.2">
      <c r="A155"/>
      <c r="I155"/>
      <c r="J155"/>
    </row>
    <row r="156" spans="1:10" x14ac:dyDescent="0.2">
      <c r="A156"/>
      <c r="I156"/>
      <c r="J156"/>
    </row>
    <row r="157" spans="1:10" x14ac:dyDescent="0.2">
      <c r="A157"/>
      <c r="I157"/>
      <c r="J157"/>
    </row>
    <row r="158" spans="1:10" x14ac:dyDescent="0.2">
      <c r="A158"/>
      <c r="I158"/>
      <c r="J158"/>
    </row>
    <row r="160" spans="1:10" ht="15.75" x14ac:dyDescent="0.25">
      <c r="B160" s="52" t="s">
        <v>113</v>
      </c>
      <c r="C160" s="52"/>
    </row>
    <row r="162" spans="1:6" ht="15.75" x14ac:dyDescent="0.25">
      <c r="A162" s="38" t="s">
        <v>76</v>
      </c>
      <c r="B162" s="62" t="s">
        <v>126</v>
      </c>
      <c r="C162" s="62"/>
      <c r="D162" s="62"/>
      <c r="E162" s="62"/>
      <c r="F162" s="62"/>
    </row>
    <row r="164" spans="1:6" x14ac:dyDescent="0.2">
      <c r="A164" s="39" t="s">
        <v>32</v>
      </c>
    </row>
  </sheetData>
  <mergeCells count="33">
    <mergeCell ref="B160:C160"/>
    <mergeCell ref="B162:F162"/>
    <mergeCell ref="B111:G111"/>
    <mergeCell ref="B113:G113"/>
    <mergeCell ref="B136:J136"/>
    <mergeCell ref="H129:I129"/>
    <mergeCell ref="B138:C141"/>
    <mergeCell ref="A109:C109"/>
    <mergeCell ref="L46:N46"/>
    <mergeCell ref="A35:C35"/>
    <mergeCell ref="B66:H68"/>
    <mergeCell ref="B71:D71"/>
    <mergeCell ref="N87:O87"/>
    <mergeCell ref="M89:P90"/>
    <mergeCell ref="H102:K103"/>
    <mergeCell ref="I105:J105"/>
    <mergeCell ref="C73:H75"/>
    <mergeCell ref="L1:N1"/>
    <mergeCell ref="M27:Q27"/>
    <mergeCell ref="M29:O30"/>
    <mergeCell ref="L29:L30"/>
    <mergeCell ref="L24:L25"/>
    <mergeCell ref="M24:O25"/>
    <mergeCell ref="M19:S21"/>
    <mergeCell ref="M10:T11"/>
    <mergeCell ref="M2:T3"/>
    <mergeCell ref="L13:L14"/>
    <mergeCell ref="M13:O14"/>
    <mergeCell ref="L17:O17"/>
    <mergeCell ref="M7:N8"/>
    <mergeCell ref="O7:P8"/>
    <mergeCell ref="O4:P5"/>
    <mergeCell ref="M4:N5"/>
  </mergeCells>
  <conditionalFormatting sqref="D1:D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{A5416074-A568-46EF-ABAA-370D98F302EB}</x14:id>
        </ext>
      </extLst>
    </cfRule>
  </conditionalFormatting>
  <conditionalFormatting sqref="D2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{31E34B7E-077A-437D-A1A1-06B7AADC9890}</x14:id>
        </ext>
      </extLst>
    </cfRule>
  </conditionalFormatting>
  <pageMargins left="0.7" right="0.7" top="0.75" bottom="0.75" header="0.3" footer="0.3"/>
  <pageSetup orientation="portrait" r:id="rId1"/>
  <ignoredErrors>
    <ignoredError sqref="H4 H2" calculatedColumn="1"/>
  </ignoredError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416074-A568-46EF-ABAA-370D98F302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31E34B7E-077A-437D-A1A1-06B7AADC98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9C95-9F2B-483D-9C83-6BD1EC37BFD7}">
  <dimension ref="A1:Q235"/>
  <sheetViews>
    <sheetView topLeftCell="A225" workbookViewId="0">
      <selection activeCell="L236" sqref="L236"/>
    </sheetView>
  </sheetViews>
  <sheetFormatPr defaultRowHeight="12.75" x14ac:dyDescent="0.2"/>
  <cols>
    <col min="3" max="3" width="12.28515625" customWidth="1"/>
  </cols>
  <sheetData>
    <row r="1" spans="3:6" x14ac:dyDescent="0.2">
      <c r="C1" s="67" t="s">
        <v>132</v>
      </c>
      <c r="D1" s="67"/>
      <c r="E1" s="67"/>
      <c r="F1" s="67"/>
    </row>
    <row r="2" spans="3:6" x14ac:dyDescent="0.2">
      <c r="C2" s="67"/>
      <c r="D2" s="67"/>
      <c r="E2" s="67"/>
      <c r="F2" s="67"/>
    </row>
    <row r="18" spans="10:13" ht="12.75" customHeight="1" x14ac:dyDescent="0.35">
      <c r="J18" s="66" t="s">
        <v>131</v>
      </c>
      <c r="K18" s="66"/>
      <c r="L18" s="66"/>
      <c r="M18" s="15"/>
    </row>
    <row r="19" spans="10:13" ht="12.75" customHeight="1" x14ac:dyDescent="0.35">
      <c r="J19" s="66"/>
      <c r="K19" s="66"/>
      <c r="L19" s="66"/>
      <c r="M19" s="15"/>
    </row>
    <row r="20" spans="10:13" ht="12.75" customHeight="1" x14ac:dyDescent="0.35">
      <c r="J20" s="66"/>
      <c r="K20" s="66"/>
      <c r="L20" s="66"/>
      <c r="M20" s="15"/>
    </row>
    <row r="21" spans="10:13" ht="12.75" customHeight="1" x14ac:dyDescent="0.35">
      <c r="J21" s="66"/>
      <c r="K21" s="66"/>
      <c r="L21" s="66"/>
      <c r="M21" s="15"/>
    </row>
    <row r="22" spans="10:13" ht="12.75" customHeight="1" x14ac:dyDescent="0.35">
      <c r="J22" s="15"/>
      <c r="K22" s="15"/>
      <c r="L22" s="15"/>
      <c r="M22" s="15"/>
    </row>
    <row r="23" spans="10:13" ht="12.75" customHeight="1" x14ac:dyDescent="0.35">
      <c r="J23" s="15"/>
      <c r="K23" s="15"/>
      <c r="L23" s="15"/>
      <c r="M23" s="15"/>
    </row>
    <row r="24" spans="10:13" ht="12.75" customHeight="1" x14ac:dyDescent="0.35">
      <c r="J24" s="15"/>
      <c r="K24" s="15"/>
      <c r="L24" s="15"/>
      <c r="M24" s="15"/>
    </row>
    <row r="37" spans="2:17" x14ac:dyDescent="0.2">
      <c r="B37" s="68" t="s">
        <v>133</v>
      </c>
      <c r="C37" s="68"/>
      <c r="D37" s="68"/>
      <c r="E37" s="68"/>
    </row>
    <row r="38" spans="2:17" x14ac:dyDescent="0.2">
      <c r="B38" s="68"/>
      <c r="C38" s="68"/>
      <c r="D38" s="68"/>
      <c r="E38" s="68"/>
    </row>
    <row r="44" spans="2:17" ht="20.25" customHeight="1" x14ac:dyDescent="0.2">
      <c r="M44" s="69" t="s">
        <v>134</v>
      </c>
      <c r="N44" s="69"/>
      <c r="O44" s="69"/>
      <c r="P44" s="69"/>
      <c r="Q44" s="69"/>
    </row>
    <row r="45" spans="2:17" x14ac:dyDescent="0.2">
      <c r="M45" s="69"/>
      <c r="N45" s="69"/>
      <c r="O45" s="69"/>
      <c r="P45" s="69"/>
      <c r="Q45" s="69"/>
    </row>
    <row r="46" spans="2:17" x14ac:dyDescent="0.2">
      <c r="M46" s="69"/>
      <c r="N46" s="69"/>
      <c r="O46" s="69"/>
      <c r="P46" s="69"/>
      <c r="Q46" s="69"/>
    </row>
    <row r="47" spans="2:17" x14ac:dyDescent="0.2">
      <c r="M47" s="69"/>
      <c r="N47" s="69"/>
      <c r="O47" s="69"/>
      <c r="P47" s="69"/>
      <c r="Q47" s="69"/>
    </row>
    <row r="48" spans="2:17" x14ac:dyDescent="0.2">
      <c r="M48" s="69"/>
      <c r="N48" s="69"/>
      <c r="O48" s="69"/>
      <c r="P48" s="69"/>
      <c r="Q48" s="69"/>
    </row>
    <row r="49" spans="13:17" ht="19.5" customHeight="1" x14ac:dyDescent="0.2">
      <c r="M49" s="69"/>
      <c r="N49" s="69"/>
      <c r="O49" s="69"/>
      <c r="P49" s="69"/>
      <c r="Q49" s="69"/>
    </row>
    <row r="50" spans="13:17" ht="12.75" customHeight="1" x14ac:dyDescent="0.2">
      <c r="M50" s="69"/>
      <c r="N50" s="69"/>
      <c r="O50" s="69"/>
      <c r="P50" s="69"/>
      <c r="Q50" s="69"/>
    </row>
    <row r="51" spans="13:17" ht="12.75" customHeight="1" x14ac:dyDescent="0.2">
      <c r="M51" s="69"/>
      <c r="N51" s="69"/>
      <c r="O51" s="69"/>
      <c r="P51" s="69"/>
      <c r="Q51" s="69"/>
    </row>
    <row r="52" spans="13:17" ht="12.75" customHeight="1" x14ac:dyDescent="0.2">
      <c r="M52" s="70"/>
      <c r="N52" s="70"/>
      <c r="O52" s="70"/>
      <c r="P52" s="70"/>
      <c r="Q52" s="70"/>
    </row>
    <row r="83" spans="1:12" x14ac:dyDescent="0.2">
      <c r="B83" s="65" t="s">
        <v>135</v>
      </c>
      <c r="C83" s="65"/>
      <c r="D83" s="65"/>
      <c r="E83" s="65"/>
    </row>
    <row r="84" spans="1:12" x14ac:dyDescent="0.2">
      <c r="B84" s="65"/>
      <c r="C84" s="65"/>
      <c r="D84" s="65"/>
      <c r="E84" s="65"/>
    </row>
    <row r="86" spans="1:12" ht="15.75" x14ac:dyDescent="0.25">
      <c r="A86" s="6" t="s">
        <v>76</v>
      </c>
      <c r="B86" s="42" t="s">
        <v>115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</row>
    <row r="88" spans="1:12" x14ac:dyDescent="0.2">
      <c r="A88" s="5" t="s">
        <v>32</v>
      </c>
      <c r="B88" s="43">
        <v>3</v>
      </c>
      <c r="C88" s="43"/>
      <c r="D88" s="50" t="s">
        <v>139</v>
      </c>
      <c r="E88" s="50"/>
    </row>
    <row r="89" spans="1:12" x14ac:dyDescent="0.2">
      <c r="B89" s="43"/>
      <c r="C89" s="43"/>
      <c r="D89" s="50"/>
      <c r="E89" s="50"/>
    </row>
    <row r="90" spans="1:12" x14ac:dyDescent="0.2">
      <c r="B90" s="7"/>
      <c r="C90" s="7"/>
      <c r="D90" s="7"/>
      <c r="E90" s="7"/>
    </row>
    <row r="91" spans="1:12" x14ac:dyDescent="0.2">
      <c r="B91" s="43">
        <v>309.39999999999998</v>
      </c>
      <c r="C91" s="43"/>
      <c r="D91" s="48" t="s">
        <v>140</v>
      </c>
      <c r="E91" s="48"/>
    </row>
    <row r="92" spans="1:12" x14ac:dyDescent="0.2">
      <c r="B92" s="43"/>
      <c r="C92" s="43"/>
      <c r="D92" s="48"/>
      <c r="E92" s="48"/>
    </row>
    <row r="94" spans="1:12" x14ac:dyDescent="0.2">
      <c r="A94" s="6" t="s">
        <v>43</v>
      </c>
      <c r="B94" s="45" t="s">
        <v>116</v>
      </c>
      <c r="C94" s="45"/>
      <c r="D94" s="45"/>
      <c r="E94" s="45"/>
      <c r="F94" s="45"/>
      <c r="G94" s="45"/>
      <c r="H94" s="45"/>
      <c r="I94" s="45"/>
    </row>
    <row r="95" spans="1:12" x14ac:dyDescent="0.2">
      <c r="B95" s="45"/>
      <c r="C95" s="45"/>
      <c r="D95" s="45"/>
      <c r="E95" s="45"/>
      <c r="F95" s="45"/>
      <c r="G95" s="45"/>
      <c r="H95" s="45"/>
      <c r="I95" s="45"/>
    </row>
    <row r="97" spans="1:8" x14ac:dyDescent="0.2">
      <c r="A97" s="43" t="s">
        <v>32</v>
      </c>
      <c r="B97" s="43">
        <v>4</v>
      </c>
      <c r="C97" s="43"/>
      <c r="D97" s="43"/>
    </row>
    <row r="98" spans="1:8" x14ac:dyDescent="0.2">
      <c r="A98" s="43"/>
      <c r="B98" s="43"/>
      <c r="C98" s="43"/>
      <c r="D98" s="43"/>
    </row>
    <row r="101" spans="1:8" ht="15.75" x14ac:dyDescent="0.25">
      <c r="A101" s="47" t="s">
        <v>117</v>
      </c>
      <c r="B101" s="47"/>
      <c r="C101" s="47"/>
      <c r="D101" s="47"/>
    </row>
    <row r="103" spans="1:8" x14ac:dyDescent="0.2">
      <c r="A103" s="6" t="s">
        <v>76</v>
      </c>
      <c r="B103" s="45" t="s">
        <v>118</v>
      </c>
      <c r="C103" s="45"/>
      <c r="D103" s="45"/>
      <c r="E103" s="45"/>
      <c r="F103" s="45"/>
      <c r="G103" s="45"/>
      <c r="H103" s="45"/>
    </row>
    <row r="104" spans="1:8" x14ac:dyDescent="0.2">
      <c r="B104" s="45"/>
      <c r="C104" s="45"/>
      <c r="D104" s="45"/>
      <c r="E104" s="45"/>
      <c r="F104" s="45"/>
      <c r="G104" s="45"/>
      <c r="H104" s="45"/>
    </row>
    <row r="105" spans="1:8" x14ac:dyDescent="0.2">
      <c r="B105" s="45"/>
      <c r="C105" s="45"/>
      <c r="D105" s="45"/>
      <c r="E105" s="45"/>
      <c r="F105" s="45"/>
      <c r="G105" s="45"/>
      <c r="H105" s="45"/>
    </row>
    <row r="108" spans="1:8" x14ac:dyDescent="0.2">
      <c r="A108" s="44" t="s">
        <v>32</v>
      </c>
      <c r="B108" s="43" t="s">
        <v>142</v>
      </c>
      <c r="C108" s="43"/>
      <c r="D108" s="43"/>
    </row>
    <row r="109" spans="1:8" x14ac:dyDescent="0.2">
      <c r="A109" s="44"/>
      <c r="B109" s="43"/>
      <c r="C109" s="43"/>
      <c r="D109" s="43"/>
    </row>
    <row r="111" spans="1:8" ht="15.75" x14ac:dyDescent="0.25">
      <c r="A111" s="6" t="s">
        <v>43</v>
      </c>
      <c r="B111" s="42" t="s">
        <v>119</v>
      </c>
      <c r="C111" s="42"/>
      <c r="D111" s="42"/>
      <c r="E111" s="42"/>
      <c r="F111" s="42"/>
    </row>
    <row r="113" spans="1:4" x14ac:dyDescent="0.2">
      <c r="A113" s="43" t="s">
        <v>32</v>
      </c>
      <c r="B113" s="43"/>
      <c r="C113" s="43"/>
      <c r="D113" s="43"/>
    </row>
    <row r="114" spans="1:4" x14ac:dyDescent="0.2">
      <c r="A114" s="43"/>
      <c r="B114" s="43"/>
      <c r="C114" s="43"/>
      <c r="D114" s="43"/>
    </row>
    <row r="131" spans="1:3" ht="15.75" x14ac:dyDescent="0.25">
      <c r="A131" s="63" t="s">
        <v>110</v>
      </c>
      <c r="B131" s="63"/>
      <c r="C131" s="63"/>
    </row>
    <row r="148" spans="10:11" x14ac:dyDescent="0.2">
      <c r="J148" s="64" t="s">
        <v>143</v>
      </c>
      <c r="K148" s="64"/>
    </row>
    <row r="149" spans="10:11" x14ac:dyDescent="0.2">
      <c r="J149" s="64"/>
      <c r="K149" s="64"/>
    </row>
    <row r="163" spans="1:15" x14ac:dyDescent="0.2">
      <c r="C163" s="57" t="s">
        <v>144</v>
      </c>
      <c r="D163" s="57"/>
      <c r="E163" s="57"/>
      <c r="F163" s="57"/>
      <c r="G163" s="57"/>
      <c r="H163" s="57"/>
      <c r="I163" s="57"/>
    </row>
    <row r="164" spans="1:15" x14ac:dyDescent="0.2">
      <c r="C164" s="57"/>
      <c r="D164" s="57"/>
      <c r="E164" s="57"/>
      <c r="F164" s="57"/>
      <c r="G164" s="57"/>
      <c r="H164" s="57"/>
      <c r="I164" s="57"/>
    </row>
    <row r="165" spans="1:15" x14ac:dyDescent="0.2">
      <c r="C165" s="57"/>
      <c r="D165" s="57"/>
      <c r="E165" s="57"/>
      <c r="F165" s="57"/>
      <c r="G165" s="57"/>
      <c r="H165" s="57"/>
      <c r="I165" s="57"/>
    </row>
    <row r="168" spans="1:15" ht="15.75" x14ac:dyDescent="0.25">
      <c r="A168" s="58" t="s">
        <v>111</v>
      </c>
      <c r="B168" s="58"/>
      <c r="C168" s="58"/>
    </row>
    <row r="170" spans="1:15" ht="15.75" x14ac:dyDescent="0.25">
      <c r="A170" s="6" t="s">
        <v>76</v>
      </c>
      <c r="B170" s="42" t="s">
        <v>122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</row>
    <row r="172" spans="1:15" x14ac:dyDescent="0.2">
      <c r="A172" s="5" t="s">
        <v>32</v>
      </c>
    </row>
    <row r="184" spans="12:15" x14ac:dyDescent="0.2">
      <c r="M184" s="59" t="s">
        <v>146</v>
      </c>
      <c r="N184" s="59"/>
    </row>
    <row r="186" spans="12:15" x14ac:dyDescent="0.2">
      <c r="L186" s="59" t="s">
        <v>148</v>
      </c>
      <c r="M186" s="59"/>
      <c r="N186" s="59"/>
      <c r="O186" s="59"/>
    </row>
    <row r="187" spans="12:15" x14ac:dyDescent="0.2">
      <c r="L187" s="59"/>
      <c r="M187" s="59"/>
      <c r="N187" s="59"/>
      <c r="O187" s="59"/>
    </row>
    <row r="199" spans="1:10" x14ac:dyDescent="0.2">
      <c r="G199" s="60" t="s">
        <v>149</v>
      </c>
      <c r="H199" s="59"/>
      <c r="I199" s="59"/>
      <c r="J199" s="59"/>
    </row>
    <row r="200" spans="1:10" x14ac:dyDescent="0.2">
      <c r="G200" s="59"/>
      <c r="H200" s="59"/>
      <c r="I200" s="59"/>
      <c r="J200" s="59"/>
    </row>
    <row r="202" spans="1:10" x14ac:dyDescent="0.2">
      <c r="H202" s="59" t="s">
        <v>147</v>
      </c>
      <c r="I202" s="59"/>
    </row>
    <row r="206" spans="1:10" ht="15.75" x14ac:dyDescent="0.25">
      <c r="A206" s="52" t="s">
        <v>112</v>
      </c>
      <c r="B206" s="52"/>
      <c r="C206" s="52"/>
    </row>
    <row r="208" spans="1:10" ht="15.75" x14ac:dyDescent="0.25">
      <c r="A208" s="6" t="s">
        <v>76</v>
      </c>
      <c r="B208" s="42" t="s">
        <v>124</v>
      </c>
      <c r="C208" s="42"/>
      <c r="D208" s="42"/>
      <c r="E208" s="42"/>
      <c r="F208" s="42"/>
      <c r="G208" s="42"/>
    </row>
    <row r="210" spans="1:7" x14ac:dyDescent="0.2">
      <c r="A210" s="32" t="s">
        <v>32</v>
      </c>
      <c r="B210" s="43"/>
      <c r="C210" s="43"/>
      <c r="D210" s="43"/>
      <c r="E210" s="43"/>
      <c r="F210" s="43"/>
      <c r="G210" s="43"/>
    </row>
    <row r="226" spans="1:14" x14ac:dyDescent="0.2">
      <c r="L226" s="71" t="s">
        <v>151</v>
      </c>
      <c r="M226" s="71"/>
      <c r="N226" s="71"/>
    </row>
    <row r="233" spans="1:14" ht="15.75" x14ac:dyDescent="0.25">
      <c r="A233" s="6" t="s">
        <v>43</v>
      </c>
      <c r="B233" s="62" t="s">
        <v>125</v>
      </c>
      <c r="C233" s="62"/>
      <c r="D233" s="62"/>
      <c r="E233" s="62"/>
      <c r="F233" s="62"/>
      <c r="G233" s="62"/>
      <c r="H233" s="62"/>
      <c r="I233" s="62"/>
      <c r="J233" s="62"/>
    </row>
    <row r="235" spans="1:14" x14ac:dyDescent="0.2">
      <c r="A235" s="5" t="s">
        <v>32</v>
      </c>
    </row>
  </sheetData>
  <mergeCells count="34">
    <mergeCell ref="B233:J233"/>
    <mergeCell ref="A206:C206"/>
    <mergeCell ref="B208:G208"/>
    <mergeCell ref="B210:G210"/>
    <mergeCell ref="L226:N226"/>
    <mergeCell ref="B83:E84"/>
    <mergeCell ref="J18:L21"/>
    <mergeCell ref="C1:F2"/>
    <mergeCell ref="B37:E38"/>
    <mergeCell ref="M44:Q52"/>
    <mergeCell ref="B86:L86"/>
    <mergeCell ref="B88:C89"/>
    <mergeCell ref="D88:E89"/>
    <mergeCell ref="B91:C92"/>
    <mergeCell ref="D91:E92"/>
    <mergeCell ref="B94:I95"/>
    <mergeCell ref="A97:A98"/>
    <mergeCell ref="B97:D98"/>
    <mergeCell ref="A101:D101"/>
    <mergeCell ref="B103:H105"/>
    <mergeCell ref="A108:A109"/>
    <mergeCell ref="B108:D109"/>
    <mergeCell ref="B111:F111"/>
    <mergeCell ref="A113:A114"/>
    <mergeCell ref="B113:D114"/>
    <mergeCell ref="G199:J200"/>
    <mergeCell ref="L186:O187"/>
    <mergeCell ref="M184:N184"/>
    <mergeCell ref="H202:I202"/>
    <mergeCell ref="A131:C131"/>
    <mergeCell ref="J148:K149"/>
    <mergeCell ref="C163:I165"/>
    <mergeCell ref="A168:C168"/>
    <mergeCell ref="B170:O1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 1 </vt:lpstr>
      <vt:lpstr>INSTRUCTIONS 2</vt:lpstr>
      <vt:lpstr>ASSINMENT  2</vt:lpstr>
      <vt:lpstr>EXPLINATION 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DESKTOP-QBHC6C8\vinod</dc:creator>
  <cp:lastModifiedBy>xx4236</cp:lastModifiedBy>
  <dcterms:created xsi:type="dcterms:W3CDTF">2026-09-15T09:34:48Z</dcterms:created>
  <dcterms:modified xsi:type="dcterms:W3CDTF">2026-09-24T17:14:11Z</dcterms:modified>
</cp:coreProperties>
</file>