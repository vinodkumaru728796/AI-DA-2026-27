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NMENT 1" sheetId="1" r:id="rId4"/>
    <sheet state="visible" name="Instructions 1 " sheetId="2" r:id="rId5"/>
  </sheets>
  <definedNames>
    <definedName hidden="1" localSheetId="0" name="Z_8A7CBC83_85B1_4872_AC4A_940864754002_.wvu.FilterData">'ASSINMENT 1'!$A$1:$K$35</definedName>
  </definedNames>
  <calcPr/>
  <customWorkbookViews>
    <customWorkbookView activeSheetId="0" maximized="1" windowHeight="0" windowWidth="0" guid="{8A7CBC83-85B1-4872-AC4A-940864754002}" name="Table1 filter view"/>
  </customWorkbookViews>
  <extLst>
    <ext uri="GoogleSheetsCustomDataVersion2">
      <go:sheetsCustomData xmlns:go="http://customooxmlschemas.google.com/" r:id="rId6" roundtripDataChecksum="WUvx/f7AnuZ1SMMtlYZ1qIB6RXw+XEFB6YwpnA2Abmo="/>
    </ext>
  </extLst>
</workbook>
</file>

<file path=xl/sharedStrings.xml><?xml version="1.0" encoding="utf-8"?>
<sst xmlns="http://schemas.openxmlformats.org/spreadsheetml/2006/main" count="204" uniqueCount="128">
  <si>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</si>
  <si>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</si>
  <si>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</si>
  <si>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</si>
  <si>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</si>
  <si>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</si>
  <si>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</si>
  <si>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</si>
  <si>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</si>
  <si>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</si>
  <si>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</si>
  <si>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</si>
  <si>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</si>
  <si>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</si>
  <si>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</si>
  <si>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</si>
  <si>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</si>
  <si>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</si>
  <si>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</si>
  <si>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</si>
  <si>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</si>
  <si>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</si>
  <si>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</si>
  <si>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PRICE DIFF</t>
  </si>
  <si>
    <t>DAY</t>
  </si>
  <si>
    <t>COUNTRY CODE</t>
  </si>
  <si>
    <t xml:space="preserve">MOUNTH </t>
  </si>
  <si>
    <t>Column2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</si>
  <si>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</si>
  <si>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</si>
  <si>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</si>
  <si>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</si>
  <si>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</si>
  <si>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</si>
  <si>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</si>
  <si>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</si>
  <si>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 xml:space="preserve">Q1 </t>
  </si>
  <si>
    <t>03-MAR-US</t>
  </si>
  <si>
    <t>Coffee Maker</t>
  </si>
  <si>
    <t>Keurig</t>
  </si>
  <si>
    <t>Kitchen</t>
  </si>
  <si>
    <t>11-APR-US</t>
  </si>
  <si>
    <t>Smartphone</t>
  </si>
  <si>
    <t>Samsung</t>
  </si>
  <si>
    <t>ANS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</si>
  <si>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</si>
  <si>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</si>
  <si>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</si>
  <si>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</si>
  <si>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</si>
  <si>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</si>
  <si>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</si>
  <si>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</si>
  <si>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</si>
  <si>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</si>
  <si>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Q2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</si>
  <si>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</si>
  <si>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</si>
  <si>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</si>
  <si>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</si>
  <si>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</si>
  <si>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</si>
  <si>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</si>
  <si>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</si>
  <si>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</si>
  <si>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</si>
  <si>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</si>
  <si>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Q3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</si>
  <si>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</si>
  <si>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</si>
  <si>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</si>
  <si>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</si>
  <si>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</si>
  <si>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</si>
  <si>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</si>
  <si>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</si>
  <si>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</si>
  <si>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</si>
  <si>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</si>
  <si>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</si>
  <si>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</si>
  <si>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</si>
  <si>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 xml:space="preserve">                                          2) Min and Max:</t>
  </si>
  <si>
    <t>27-JAN-IT</t>
  </si>
  <si>
    <t>Asus</t>
  </si>
  <si>
    <t>01-MAR-UK</t>
  </si>
  <si>
    <t>Sunglasses</t>
  </si>
  <si>
    <t>Oakley</t>
  </si>
  <si>
    <t>Q1</t>
  </si>
  <si>
    <t>. Determine the minimum price among all products.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</si>
  <si>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</si>
  <si>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</si>
  <si>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</si>
  <si>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</si>
  <si>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</si>
  <si>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</si>
  <si>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</si>
  <si>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</si>
  <si>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</si>
  <si>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</si>
  <si>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</si>
  <si>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</si>
  <si>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</si>
  <si>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</si>
  <si>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</si>
  <si>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</si>
  <si>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</si>
  <si>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</si>
  <si>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 xml:space="preserve">                              3) IF Function:</t>
  </si>
  <si>
    <t>07-MAR-CA</t>
  </si>
  <si>
    <t>Dress</t>
  </si>
  <si>
    <t>Zara</t>
  </si>
  <si>
    <t>Q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</si>
  <si>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</si>
  <si>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</si>
  <si>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</si>
  <si>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</si>
  <si>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</si>
  <si>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</si>
  <si>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</si>
  <si>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</si>
  <si>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</si>
  <si>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</si>
  <si>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</si>
  <si>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COLOMN-G</t>
  </si>
  <si>
    <t>COLOMN - H     DAY</t>
  </si>
  <si>
    <t xml:space="preserve">COLOMNS -- I COUNRTY CODE </t>
  </si>
  <si>
    <t xml:space="preserve">COLOMNS -- J  MOUNTH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</si>
</sst>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1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sz val="10.0"/>
      <color rgb="FF000000"/>
      <name val="Arial"/>
    </font>
    <font>
      <b/>
      <sz val="11.0"/>
      <color theme="1"/>
      <name val="Calibri"/>
    </font>
    <font>
      <b/>
      <sz val="10.0"/>
      <color rgb="FFFFFFFF"/>
      <name val="Arial"/>
    </font>
    <font>
      <b/>
      <sz val="10.0"/>
      <color rgb="FFFFFF00"/>
      <name val="Arial"/>
    </font>
    <font/>
    <font>
      <sz val="10.0"/>
      <color rgb="FFFFFFFF"/>
      <name val="Arial"/>
    </font>
    <font>
      <color rgb="FFFFFFFF"/>
      <name val="Arial"/>
      <scheme val="minor"/>
    </font>
    <font>
      <sz val="10.0"/>
      <color theme="1"/>
      <name val="Arial"/>
    </font>
    <font>
      <sz val="10.0"/>
      <color rgb="FFFFFF00"/>
      <name val="Arial"/>
    </font>
    <font>
      <sz val="20.0"/>
      <color rgb="FF000000"/>
      <name val="Arial"/>
    </font>
    <font>
      <sz val="16.0"/>
      <color rgb="FF000000"/>
      <name val="Arial"/>
    </font>
    <font>
      <color theme="1"/>
      <name val="Arial"/>
      <scheme val="minor"/>
    </font>
    <font>
      <b/>
      <sz val="10.0"/>
      <color rgb="FF000000"/>
      <name val="Arial"/>
    </font>
    <font>
      <b/>
      <sz val="16.0"/>
      <color theme="1"/>
      <name val="Times New Roman"/>
    </font>
    <font>
      <b/>
      <sz val="14.0"/>
      <color rgb="FF000000"/>
      <name val="Arial"/>
    </font>
    <font>
      <b/>
      <sz val="20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800080"/>
        <bgColor rgb="FF800080"/>
      </patternFill>
    </fill>
    <fill>
      <patternFill patternType="solid">
        <fgColor rgb="FFE0F7FA"/>
        <bgColor rgb="FFE0F7FA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7030A0"/>
        <bgColor rgb="FF7030A0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 style="thin">
        <color rgb="FF000000"/>
      </top>
    </border>
    <border>
      <left/>
      <top/>
    </border>
    <border>
      <right/>
      <top/>
    </border>
    <border>
      <left/>
      <right/>
    </border>
    <border>
      <left/>
    </border>
    <border>
      <right/>
    </border>
    <border>
      <left/>
      <right/>
      <bottom/>
    </border>
    <border>
      <left/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readingOrder="0" shrinkToFit="0" vertical="center" wrapText="0"/>
    </xf>
    <xf borderId="2" fillId="2" fontId="6" numFmtId="0" xfId="0" applyAlignment="1" applyBorder="1" applyFill="1" applyFont="1">
      <alignment horizontal="center" readingOrder="0" shrinkToFit="0" vertical="center" wrapText="0"/>
    </xf>
    <xf borderId="3" fillId="3" fontId="7" numFmtId="0" xfId="0" applyAlignment="1" applyBorder="1" applyFill="1" applyFont="1">
      <alignment horizontal="center"/>
    </xf>
    <xf borderId="4" fillId="0" fontId="8" numFmtId="0" xfId="0" applyBorder="1" applyFont="1"/>
    <xf borderId="5" fillId="0" fontId="8" numFmtId="0" xfId="0" applyBorder="1" applyFont="1"/>
    <xf borderId="1" fillId="0" fontId="9" numFmtId="0" xfId="0" applyAlignment="1" applyBorder="1" applyFont="1">
      <alignment shrinkToFit="0" vertical="center" wrapText="0"/>
    </xf>
    <xf borderId="6" fillId="0" fontId="9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0" fillId="0" fontId="10" numFmtId="0" xfId="0" applyAlignment="1" applyFont="1">
      <alignment shrinkToFit="0" vertical="center" wrapText="0"/>
    </xf>
    <xf borderId="7" fillId="4" fontId="9" numFmtId="0" xfId="0" applyAlignment="1" applyBorder="1" applyFill="1" applyFont="1">
      <alignment shrinkToFit="0" vertical="center" wrapText="0"/>
    </xf>
    <xf borderId="0" fillId="0" fontId="11" numFmtId="0" xfId="0" applyFont="1"/>
    <xf borderId="1" fillId="4" fontId="9" numFmtId="0" xfId="0" applyAlignment="1" applyBorder="1" applyFill="1" applyFont="1">
      <alignment shrinkToFit="0" vertical="center" wrapText="0"/>
    </xf>
    <xf borderId="8" fillId="4" fontId="9" numFmtId="0" xfId="0" applyAlignment="1" applyBorder="1" applyFill="1" applyFont="1">
      <alignment shrinkToFit="0" vertical="center" wrapText="0"/>
    </xf>
    <xf borderId="2" fillId="5" fontId="11" numFmtId="0" xfId="0" applyBorder="1" applyFill="1" applyFont="1"/>
    <xf borderId="6" fillId="5" fontId="4" numFmtId="0" xfId="0" applyAlignment="1" applyBorder="1" applyFill="1" applyFont="1">
      <alignment horizontal="left"/>
    </xf>
    <xf borderId="9" fillId="0" fontId="8" numFmtId="0" xfId="0" applyBorder="1" applyFont="1"/>
    <xf borderId="0" fillId="0" fontId="4" numFmtId="0" xfId="0" applyAlignment="1" applyFont="1">
      <alignment horizontal="left" shrinkToFit="0" wrapText="1"/>
    </xf>
    <xf borderId="2" fillId="6" fontId="4" numFmtId="0" xfId="0" applyBorder="1" applyFill="1" applyFont="1"/>
    <xf borderId="6" fillId="6" fontId="4" numFmtId="0" xfId="0" applyBorder="1" applyFill="1" applyFont="1"/>
    <xf borderId="3" fillId="5" fontId="4" numFmtId="0" xfId="0" applyBorder="1" applyFill="1" applyFont="1"/>
    <xf borderId="6" fillId="3" fontId="12" numFmtId="0" xfId="0" applyBorder="1" applyFill="1" applyFont="1"/>
    <xf borderId="10" fillId="0" fontId="8" numFmtId="0" xfId="0" applyBorder="1" applyFont="1"/>
    <xf borderId="1" fillId="6" fontId="11" numFmtId="0" xfId="0" applyBorder="1" applyFill="1" applyFont="1"/>
    <xf borderId="1" fillId="5" fontId="11" numFmtId="0" xfId="0" applyBorder="1" applyFill="1" applyFont="1"/>
    <xf borderId="11" fillId="5" fontId="4" numFmtId="0" xfId="0" applyBorder="1" applyFill="1" applyFont="1"/>
    <xf borderId="12" fillId="0" fontId="8" numFmtId="0" xfId="0" applyBorder="1" applyFont="1"/>
    <xf borderId="2" fillId="7" fontId="11" numFmtId="0" xfId="0" applyBorder="1" applyFill="1" applyFont="1"/>
    <xf borderId="13" fillId="6" fontId="11" numFmtId="0" xfId="0" applyBorder="1" applyFill="1" applyFont="1"/>
    <xf borderId="3" fillId="6" fontId="11" numFmtId="0" xfId="0" applyBorder="1" applyFill="1" applyFont="1"/>
    <xf borderId="3" fillId="3" fontId="12" numFmtId="0" xfId="0" applyBorder="1" applyFill="1" applyFont="1"/>
    <xf borderId="14" fillId="5" fontId="13" numFmtId="0" xfId="0" applyAlignment="1" applyBorder="1" applyFill="1" applyFont="1">
      <alignment horizontal="center"/>
    </xf>
    <xf borderId="15" fillId="5" fontId="3" numFmtId="0" xfId="0" applyAlignment="1" applyBorder="1" applyFill="1" applyFont="1">
      <alignment horizontal="center" shrinkToFit="0" wrapText="1"/>
    </xf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20" fillId="0" fontId="8" numFmtId="0" xfId="0" applyBorder="1" applyFont="1"/>
    <xf borderId="21" fillId="0" fontId="8" numFmtId="0" xfId="0" applyBorder="1" applyFont="1"/>
    <xf borderId="22" fillId="0" fontId="8" numFmtId="0" xfId="0" applyBorder="1" applyFont="1"/>
    <xf borderId="23" fillId="4" fontId="9" numFmtId="0" xfId="0" applyAlignment="1" applyBorder="1" applyFill="1" applyFont="1">
      <alignment shrinkToFit="0" vertical="center" wrapText="0"/>
    </xf>
    <xf borderId="0" fillId="0" fontId="11" numFmtId="0" xfId="0" applyAlignment="1" applyFont="1">
      <alignment horizontal="center"/>
    </xf>
    <xf borderId="2" fillId="8" fontId="4" numFmtId="0" xfId="0" applyBorder="1" applyFill="1" applyFont="1"/>
    <xf borderId="6" fillId="8" fontId="4" numFmtId="0" xfId="0" applyAlignment="1" applyBorder="1" applyFill="1" applyFont="1">
      <alignment horizontal="center"/>
    </xf>
    <xf borderId="2" fillId="9" fontId="14" numFmtId="0" xfId="0" applyBorder="1" applyFill="1" applyFont="1"/>
    <xf borderId="24" fillId="10" fontId="14" numFmtId="0" xfId="0" applyAlignment="1" applyBorder="1" applyFill="1" applyFont="1">
      <alignment horizontal="center"/>
    </xf>
    <xf borderId="25" fillId="0" fontId="8" numFmtId="0" xfId="0" applyBorder="1" applyFont="1"/>
    <xf borderId="26" fillId="0" fontId="8" numFmtId="0" xfId="0" applyBorder="1" applyFont="1"/>
    <xf borderId="13" fillId="9" fontId="14" numFmtId="0" xfId="0" applyBorder="1" applyFill="1" applyFont="1"/>
    <xf borderId="27" fillId="0" fontId="8" numFmtId="0" xfId="0" applyBorder="1" applyFont="1"/>
    <xf borderId="28" fillId="0" fontId="8" numFmtId="0" xfId="0" applyBorder="1" applyFont="1"/>
    <xf borderId="29" fillId="0" fontId="8" numFmtId="0" xfId="0" applyBorder="1" applyFont="1"/>
    <xf borderId="2" fillId="9" fontId="14" numFmtId="0" xfId="0" applyAlignment="1" applyBorder="1" applyFill="1" applyFont="1">
      <alignment horizontal="center"/>
    </xf>
    <xf borderId="2" fillId="5" fontId="4" numFmtId="0" xfId="0" applyBorder="1" applyFill="1" applyFont="1"/>
    <xf borderId="6" fillId="5" fontId="3" numFmtId="0" xfId="0" applyAlignment="1" applyBorder="1" applyFill="1" applyFont="1">
      <alignment horizontal="center"/>
    </xf>
    <xf borderId="0" fillId="0" fontId="15" numFmtId="0" xfId="0" applyFont="1"/>
    <xf borderId="6" fillId="8" fontId="16" numFmtId="0" xfId="0" applyAlignment="1" applyBorder="1" applyFill="1" applyFont="1">
      <alignment horizontal="center"/>
    </xf>
    <xf borderId="3" fillId="5" fontId="3" numFmtId="0" xfId="0" applyAlignment="1" applyBorder="1" applyFill="1" applyFont="1">
      <alignment horizontal="center"/>
    </xf>
    <xf borderId="24" fillId="10" fontId="17" numFmtId="0" xfId="0" applyAlignment="1" applyBorder="1" applyFill="1" applyFont="1">
      <alignment horizontal="center"/>
    </xf>
    <xf borderId="3" fillId="8" fontId="18" numFmtId="0" xfId="0" applyAlignment="1" applyBorder="1" applyFill="1" applyFont="1">
      <alignment horizontal="center"/>
    </xf>
    <xf borderId="30" fillId="5" fontId="4" numFmtId="0" xfId="0" applyAlignment="1" applyBorder="1" applyFill="1" applyFont="1">
      <alignment horizontal="center" shrinkToFit="0" wrapText="1"/>
    </xf>
    <xf borderId="24" fillId="5" fontId="3" numFmtId="0" xfId="0" applyAlignment="1" applyBorder="1" applyFill="1" applyFont="1">
      <alignment horizontal="center" shrinkToFit="0" wrapText="1"/>
    </xf>
    <xf borderId="2" fillId="9" fontId="3" numFmtId="0" xfId="0" applyBorder="1" applyFill="1" applyFont="1"/>
    <xf borderId="31" fillId="0" fontId="8" numFmtId="0" xfId="0" applyBorder="1" applyFont="1"/>
    <xf borderId="0" fillId="0" fontId="4" numFmtId="0" xfId="0" applyAlignment="1" applyFont="1">
      <alignment horizontal="center"/>
    </xf>
    <xf borderId="24" fillId="8" fontId="19" numFmtId="0" xfId="0" applyAlignment="1" applyBorder="1" applyFill="1" applyFont="1">
      <alignment horizontal="center"/>
    </xf>
    <xf borderId="30" fillId="5" fontId="4" numFmtId="0" xfId="0" applyAlignment="1" applyBorder="1" applyFill="1" applyFont="1">
      <alignment horizontal="center"/>
    </xf>
    <xf borderId="24" fillId="5" fontId="4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BC8D03"/>
          <bgColor rgb="FFBC8D03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ASSINMENT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35" displayName="Table1" name="Table1" id="1">
  <tableColumns count="11">
    <tableColumn name="Product ID" id="1"/>
    <tableColumn name="Product Name" id="2"/>
    <tableColumn name="Brand Name" id="3"/>
    <tableColumn name="Price ($)" id="4"/>
    <tableColumn name="Quantity" id="5"/>
    <tableColumn name="Category" id="6"/>
    <tableColumn name="PRICE DIFF" id="7"/>
    <tableColumn name="DAY" id="8"/>
    <tableColumn name="COUNTRY CODE" id="9"/>
    <tableColumn name="MOUNTH " id="10"/>
    <tableColumn name="Column2" id="11"/>
  </tableColumns>
  <tableStyleInfo name="ASSINMENT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0"/>
    <col customWidth="1" min="2" max="2" width="18.38"/>
    <col customWidth="1" min="3" max="3" width="16.88"/>
    <col customWidth="1" min="4" max="4" width="13.0"/>
    <col customWidth="1" min="5" max="5" width="13.13"/>
    <col customWidth="1" min="6" max="6" width="13.75"/>
    <col customWidth="1" min="7" max="7" width="17.0"/>
    <col customWidth="1" min="8" max="8" width="13.75"/>
    <col customWidth="1" min="9" max="10" width="20.25"/>
    <col customWidth="1" min="11" max="11" width="13.63"/>
    <col customWidth="1" min="13" max="13" width="33.38"/>
  </cols>
  <sheetData>
    <row r="1" ht="15.75" customHeight="1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L1" s="8" t="s">
        <v>1</v>
      </c>
      <c r="M1" s="9"/>
      <c r="N1" s="10"/>
    </row>
    <row r="2" ht="12.75" customHeight="1">
      <c r="A2" s="11" t="s">
        <v>28</v>
      </c>
      <c r="B2" s="11" t="s">
        <v>29</v>
      </c>
      <c r="C2" s="11" t="s">
        <v>30</v>
      </c>
      <c r="D2" s="11">
        <v>1000.0</v>
      </c>
      <c r="E2" s="11">
        <v>30.0</v>
      </c>
      <c r="F2" s="12" t="s">
        <v>31</v>
      </c>
      <c r="G2" s="11" t="str">
        <f t="shared" ref="G2:G35" si="1">IF(D2&gt;=500,"High Price","Standard Price")</f>
        <v>High Price</v>
      </c>
      <c r="H2" s="11" t="str">
        <f t="shared" ref="H2:H35" si="2">LEFT(A2,2)</f>
        <v>28</v>
      </c>
      <c r="I2" s="13" t="str">
        <f t="shared" ref="I2:I35" si="3">RIGHT(A2,2)</f>
        <v>US</v>
      </c>
      <c r="J2" s="14" t="str">
        <f t="shared" ref="J2:J35" si="4">MID(A2,4,3)</f>
        <v>JAN</v>
      </c>
      <c r="K2" s="15"/>
      <c r="L2" s="16"/>
    </row>
    <row r="3" ht="12.75" customHeight="1">
      <c r="A3" s="17" t="s">
        <v>32</v>
      </c>
      <c r="B3" s="17" t="s">
        <v>33</v>
      </c>
      <c r="C3" s="17" t="s">
        <v>34</v>
      </c>
      <c r="D3" s="17">
        <v>80.0</v>
      </c>
      <c r="E3" s="17">
        <v>15.0</v>
      </c>
      <c r="F3" s="18" t="s">
        <v>35</v>
      </c>
      <c r="G3" s="17" t="str">
        <f t="shared" si="1"/>
        <v>Standard Price</v>
      </c>
      <c r="H3" s="17" t="str">
        <f t="shared" si="2"/>
        <v>15</v>
      </c>
      <c r="I3" s="17" t="str">
        <f t="shared" si="3"/>
        <v>US</v>
      </c>
      <c r="J3" s="14" t="str">
        <f t="shared" si="4"/>
        <v>FEB</v>
      </c>
      <c r="K3" s="17"/>
      <c r="L3" s="19" t="s">
        <v>36</v>
      </c>
      <c r="M3" s="20" t="s">
        <v>2</v>
      </c>
      <c r="N3" s="21"/>
    </row>
    <row r="4" ht="12.75" customHeight="1">
      <c r="A4" s="11" t="s">
        <v>37</v>
      </c>
      <c r="B4" s="11" t="s">
        <v>38</v>
      </c>
      <c r="C4" s="11" t="s">
        <v>39</v>
      </c>
      <c r="D4" s="11">
        <v>130.0</v>
      </c>
      <c r="E4" s="11">
        <v>40.0</v>
      </c>
      <c r="F4" s="12" t="s">
        <v>40</v>
      </c>
      <c r="G4" s="11" t="str">
        <f t="shared" si="1"/>
        <v>Standard Price</v>
      </c>
      <c r="H4" s="11" t="str">
        <f t="shared" si="2"/>
        <v>03</v>
      </c>
      <c r="I4" s="11" t="str">
        <f t="shared" si="3"/>
        <v>US</v>
      </c>
      <c r="J4" s="14" t="str">
        <f t="shared" si="4"/>
        <v>MAR</v>
      </c>
      <c r="K4" s="17"/>
      <c r="L4" s="16"/>
      <c r="M4" s="22"/>
      <c r="N4" s="22"/>
    </row>
    <row r="5" ht="12.75" customHeight="1">
      <c r="A5" s="17" t="s">
        <v>41</v>
      </c>
      <c r="B5" s="17" t="s">
        <v>42</v>
      </c>
      <c r="C5" s="17" t="s">
        <v>43</v>
      </c>
      <c r="D5" s="17">
        <v>900.0</v>
      </c>
      <c r="E5" s="17">
        <v>25.0</v>
      </c>
      <c r="F5" s="18" t="s">
        <v>31</v>
      </c>
      <c r="G5" s="17" t="str">
        <f t="shared" si="1"/>
        <v>High Price</v>
      </c>
      <c r="H5" s="17" t="str">
        <f t="shared" si="2"/>
        <v>11</v>
      </c>
      <c r="I5" s="17" t="str">
        <f t="shared" si="3"/>
        <v>US</v>
      </c>
      <c r="J5" s="14" t="str">
        <f t="shared" si="4"/>
        <v>APR</v>
      </c>
      <c r="K5" s="17"/>
      <c r="L5" s="23" t="s">
        <v>44</v>
      </c>
      <c r="M5" s="24">
        <f>SUM(D:D)</f>
        <v>10100</v>
      </c>
      <c r="N5" s="21"/>
    </row>
    <row r="6" ht="12.75" customHeight="1">
      <c r="A6" s="11" t="s">
        <v>45</v>
      </c>
      <c r="B6" s="11" t="s">
        <v>46</v>
      </c>
      <c r="C6" s="11" t="s">
        <v>47</v>
      </c>
      <c r="D6" s="11">
        <v>70.0</v>
      </c>
      <c r="E6" s="11">
        <v>20.0</v>
      </c>
      <c r="F6" s="12" t="s">
        <v>48</v>
      </c>
      <c r="G6" s="11" t="str">
        <f t="shared" si="1"/>
        <v>Standard Price</v>
      </c>
      <c r="H6" s="11" t="str">
        <f t="shared" si="2"/>
        <v>22</v>
      </c>
      <c r="I6" s="11" t="str">
        <f t="shared" si="3"/>
        <v>US</v>
      </c>
      <c r="J6" s="14" t="str">
        <f t="shared" si="4"/>
        <v>MAY</v>
      </c>
      <c r="K6" s="17"/>
      <c r="L6" s="16"/>
    </row>
    <row r="7" ht="12.75" customHeight="1">
      <c r="A7" s="17" t="s">
        <v>49</v>
      </c>
      <c r="B7" s="17" t="s">
        <v>50</v>
      </c>
      <c r="C7" s="17" t="s">
        <v>51</v>
      </c>
      <c r="D7" s="17">
        <v>200.0</v>
      </c>
      <c r="E7" s="17">
        <v>45.0</v>
      </c>
      <c r="F7" s="18" t="s">
        <v>31</v>
      </c>
      <c r="G7" s="17" t="str">
        <f t="shared" si="1"/>
        <v>Standard Price</v>
      </c>
      <c r="H7" s="17" t="str">
        <f t="shared" si="2"/>
        <v>07</v>
      </c>
      <c r="I7" s="17" t="str">
        <f t="shared" si="3"/>
        <v>UK</v>
      </c>
      <c r="J7" s="14" t="str">
        <f t="shared" si="4"/>
        <v>JUN</v>
      </c>
      <c r="K7" s="17"/>
      <c r="L7" s="16"/>
    </row>
    <row r="8" ht="12.75" customHeight="1">
      <c r="A8" s="11" t="s">
        <v>52</v>
      </c>
      <c r="B8" s="11" t="s">
        <v>53</v>
      </c>
      <c r="C8" s="11" t="s">
        <v>54</v>
      </c>
      <c r="D8" s="11">
        <v>30.0</v>
      </c>
      <c r="E8" s="11">
        <v>5.0</v>
      </c>
      <c r="F8" s="12" t="s">
        <v>35</v>
      </c>
      <c r="G8" s="11" t="str">
        <f t="shared" si="1"/>
        <v>Standard Price</v>
      </c>
      <c r="H8" s="11" t="str">
        <f t="shared" si="2"/>
        <v>19</v>
      </c>
      <c r="I8" s="11" t="str">
        <f t="shared" si="3"/>
        <v>UK</v>
      </c>
      <c r="J8" s="14" t="str">
        <f t="shared" si="4"/>
        <v>JUL</v>
      </c>
      <c r="K8" s="17"/>
      <c r="L8" s="19" t="s">
        <v>55</v>
      </c>
      <c r="M8" s="25" t="s">
        <v>3</v>
      </c>
      <c r="N8" s="10"/>
    </row>
    <row r="9" ht="12.75" customHeight="1">
      <c r="A9" s="17" t="s">
        <v>56</v>
      </c>
      <c r="B9" s="17" t="s">
        <v>57</v>
      </c>
      <c r="C9" s="17" t="s">
        <v>58</v>
      </c>
      <c r="D9" s="17">
        <v>90.0</v>
      </c>
      <c r="E9" s="17">
        <v>35.0</v>
      </c>
      <c r="F9" s="18" t="s">
        <v>40</v>
      </c>
      <c r="G9" s="17" t="str">
        <f t="shared" si="1"/>
        <v>Standard Price</v>
      </c>
      <c r="H9" s="17" t="str">
        <f t="shared" si="2"/>
        <v>23</v>
      </c>
      <c r="I9" s="17" t="str">
        <f t="shared" si="3"/>
        <v>UK</v>
      </c>
      <c r="J9" s="14" t="str">
        <f t="shared" si="4"/>
        <v>AUG</v>
      </c>
      <c r="K9" s="17"/>
      <c r="L9" s="16"/>
    </row>
    <row r="10" ht="12.75" customHeight="1">
      <c r="A10" s="11" t="s">
        <v>59</v>
      </c>
      <c r="B10" s="11" t="s">
        <v>60</v>
      </c>
      <c r="C10" s="11" t="s">
        <v>61</v>
      </c>
      <c r="D10" s="11">
        <v>500.0</v>
      </c>
      <c r="E10" s="11">
        <v>50.0</v>
      </c>
      <c r="F10" s="12" t="s">
        <v>31</v>
      </c>
      <c r="G10" s="11" t="str">
        <f t="shared" si="1"/>
        <v>High Price</v>
      </c>
      <c r="H10" s="11" t="str">
        <f t="shared" si="2"/>
        <v>05</v>
      </c>
      <c r="I10" s="11" t="str">
        <f t="shared" si="3"/>
        <v>UK</v>
      </c>
      <c r="J10" s="14" t="str">
        <f t="shared" si="4"/>
        <v>SEP</v>
      </c>
      <c r="K10" s="17"/>
      <c r="L10" s="23" t="s">
        <v>44</v>
      </c>
      <c r="M10" s="23"/>
      <c r="N10" s="23">
        <f>COUNTA(B:B)</f>
        <v>47</v>
      </c>
    </row>
    <row r="11" ht="12.75" customHeight="1">
      <c r="A11" s="17" t="s">
        <v>62</v>
      </c>
      <c r="B11" s="17" t="s">
        <v>63</v>
      </c>
      <c r="C11" s="17" t="s">
        <v>64</v>
      </c>
      <c r="D11" s="17">
        <v>130.0</v>
      </c>
      <c r="E11" s="17">
        <v>10.0</v>
      </c>
      <c r="F11" s="18" t="s">
        <v>48</v>
      </c>
      <c r="G11" s="17" t="str">
        <f t="shared" si="1"/>
        <v>Standard Price</v>
      </c>
      <c r="H11" s="17" t="str">
        <f t="shared" si="2"/>
        <v>14</v>
      </c>
      <c r="I11" s="17" t="str">
        <f t="shared" si="3"/>
        <v>UK</v>
      </c>
      <c r="J11" s="14" t="str">
        <f t="shared" si="4"/>
        <v>OCT</v>
      </c>
      <c r="K11" s="17"/>
      <c r="L11" s="16"/>
    </row>
    <row r="12" ht="12.75" customHeight="1">
      <c r="A12" s="11" t="s">
        <v>65</v>
      </c>
      <c r="B12" s="11" t="s">
        <v>29</v>
      </c>
      <c r="C12" s="11" t="s">
        <v>66</v>
      </c>
      <c r="D12" s="11">
        <v>950.0</v>
      </c>
      <c r="E12" s="11">
        <v>25.0</v>
      </c>
      <c r="F12" s="12" t="s">
        <v>31</v>
      </c>
      <c r="G12" s="11" t="str">
        <f t="shared" si="1"/>
        <v>High Price</v>
      </c>
      <c r="H12" s="11" t="str">
        <f t="shared" si="2"/>
        <v>17</v>
      </c>
      <c r="I12" s="11" t="str">
        <f t="shared" si="3"/>
        <v>IN</v>
      </c>
      <c r="J12" s="14" t="str">
        <f t="shared" si="4"/>
        <v>JUN</v>
      </c>
      <c r="K12" s="17"/>
      <c r="L12" s="19" t="s">
        <v>67</v>
      </c>
      <c r="M12" s="25" t="s">
        <v>4</v>
      </c>
      <c r="N12" s="10"/>
    </row>
    <row r="13" ht="12.75" customHeight="1">
      <c r="A13" s="17" t="s">
        <v>68</v>
      </c>
      <c r="B13" s="17" t="s">
        <v>33</v>
      </c>
      <c r="C13" s="17" t="s">
        <v>54</v>
      </c>
      <c r="D13" s="17">
        <v>90.0</v>
      </c>
      <c r="E13" s="17">
        <v>40.0</v>
      </c>
      <c r="F13" s="18" t="s">
        <v>35</v>
      </c>
      <c r="G13" s="17" t="str">
        <f t="shared" si="1"/>
        <v>Standard Price</v>
      </c>
      <c r="H13" s="17" t="str">
        <f t="shared" si="2"/>
        <v>25</v>
      </c>
      <c r="I13" s="17" t="str">
        <f t="shared" si="3"/>
        <v>AU</v>
      </c>
      <c r="J13" s="14" t="str">
        <f t="shared" si="4"/>
        <v>NOV</v>
      </c>
      <c r="K13" s="17"/>
      <c r="L13" s="16"/>
    </row>
    <row r="14" ht="12.75" customHeight="1">
      <c r="A14" s="11" t="s">
        <v>69</v>
      </c>
      <c r="B14" s="11" t="s">
        <v>38</v>
      </c>
      <c r="C14" s="11" t="s">
        <v>70</v>
      </c>
      <c r="D14" s="11">
        <v>120.0</v>
      </c>
      <c r="E14" s="11">
        <v>35.0</v>
      </c>
      <c r="F14" s="12" t="s">
        <v>40</v>
      </c>
      <c r="G14" s="11" t="str">
        <f t="shared" si="1"/>
        <v>Standard Price</v>
      </c>
      <c r="H14" s="11" t="str">
        <f t="shared" si="2"/>
        <v>08</v>
      </c>
      <c r="I14" s="11" t="str">
        <f t="shared" si="3"/>
        <v>DE</v>
      </c>
      <c r="J14" s="14" t="str">
        <f t="shared" si="4"/>
        <v>DEC</v>
      </c>
      <c r="K14" s="17"/>
      <c r="L14" s="23" t="s">
        <v>44</v>
      </c>
      <c r="M14" s="23"/>
      <c r="N14" s="23">
        <f>AVERAGE(D:D)</f>
        <v>297.0588235</v>
      </c>
    </row>
    <row r="15" ht="12.75" customHeight="1">
      <c r="A15" s="17" t="s">
        <v>71</v>
      </c>
      <c r="B15" s="17" t="s">
        <v>72</v>
      </c>
      <c r="C15" s="17" t="s">
        <v>73</v>
      </c>
      <c r="D15" s="17">
        <v>150.0</v>
      </c>
      <c r="E15" s="17">
        <v>15.0</v>
      </c>
      <c r="F15" s="18" t="s">
        <v>31</v>
      </c>
      <c r="G15" s="17" t="str">
        <f t="shared" si="1"/>
        <v>Standard Price</v>
      </c>
      <c r="H15" s="17" t="str">
        <f t="shared" si="2"/>
        <v>18</v>
      </c>
      <c r="I15" s="17" t="str">
        <f t="shared" si="3"/>
        <v>CA</v>
      </c>
      <c r="J15" s="14" t="str">
        <f t="shared" si="4"/>
        <v>FEB</v>
      </c>
      <c r="K15" s="17"/>
      <c r="L15" s="16"/>
    </row>
    <row r="16" ht="12.75" customHeight="1">
      <c r="A16" s="11" t="s">
        <v>74</v>
      </c>
      <c r="B16" s="11" t="s">
        <v>50</v>
      </c>
      <c r="C16" s="11" t="s">
        <v>75</v>
      </c>
      <c r="D16" s="11">
        <v>250.0</v>
      </c>
      <c r="E16" s="11">
        <v>20.0</v>
      </c>
      <c r="F16" s="12" t="s">
        <v>31</v>
      </c>
      <c r="G16" s="11" t="str">
        <f t="shared" si="1"/>
        <v>Standard Price</v>
      </c>
      <c r="H16" s="11" t="str">
        <f t="shared" si="2"/>
        <v>16</v>
      </c>
      <c r="I16" s="11" t="str">
        <f t="shared" si="3"/>
        <v>ES</v>
      </c>
      <c r="J16" s="14" t="str">
        <f t="shared" si="4"/>
        <v>APR</v>
      </c>
      <c r="K16" s="17"/>
      <c r="L16" s="16"/>
    </row>
    <row r="17" ht="12.75" customHeight="1">
      <c r="A17" s="17" t="s">
        <v>76</v>
      </c>
      <c r="B17" s="17" t="s">
        <v>77</v>
      </c>
      <c r="C17" s="17" t="s">
        <v>78</v>
      </c>
      <c r="D17" s="17">
        <v>50.0</v>
      </c>
      <c r="E17" s="17">
        <v>35.0</v>
      </c>
      <c r="F17" s="18" t="s">
        <v>79</v>
      </c>
      <c r="G17" s="17" t="str">
        <f t="shared" si="1"/>
        <v>Standard Price</v>
      </c>
      <c r="H17" s="17" t="str">
        <f t="shared" si="2"/>
        <v>21</v>
      </c>
      <c r="I17" s="17" t="str">
        <f t="shared" si="3"/>
        <v>CA</v>
      </c>
      <c r="J17" s="14" t="str">
        <f t="shared" si="4"/>
        <v>AUG</v>
      </c>
      <c r="K17" s="17"/>
      <c r="L17" s="16"/>
    </row>
    <row r="18" ht="12.75" customHeight="1">
      <c r="A18" s="11" t="s">
        <v>80</v>
      </c>
      <c r="B18" s="11" t="s">
        <v>72</v>
      </c>
      <c r="C18" s="11" t="s">
        <v>81</v>
      </c>
      <c r="D18" s="11">
        <v>160.0</v>
      </c>
      <c r="E18" s="11">
        <v>15.0</v>
      </c>
      <c r="F18" s="12" t="s">
        <v>31</v>
      </c>
      <c r="G18" s="11" t="str">
        <f t="shared" si="1"/>
        <v>Standard Price</v>
      </c>
      <c r="H18" s="11" t="str">
        <f t="shared" si="2"/>
        <v>20</v>
      </c>
      <c r="I18" s="11" t="str">
        <f t="shared" si="3"/>
        <v>CN</v>
      </c>
      <c r="J18" s="14" t="str">
        <f t="shared" si="4"/>
        <v>AUG</v>
      </c>
      <c r="K18" s="17"/>
      <c r="L18" s="26" t="s">
        <v>82</v>
      </c>
      <c r="M18" s="27"/>
      <c r="N18" s="21"/>
    </row>
    <row r="19" ht="12.75" customHeight="1">
      <c r="A19" s="17" t="s">
        <v>83</v>
      </c>
      <c r="B19" s="17" t="s">
        <v>29</v>
      </c>
      <c r="C19" s="17" t="s">
        <v>84</v>
      </c>
      <c r="D19" s="17">
        <v>980.0</v>
      </c>
      <c r="E19" s="17">
        <v>10.0</v>
      </c>
      <c r="F19" s="18" t="s">
        <v>31</v>
      </c>
      <c r="G19" s="17" t="str">
        <f t="shared" si="1"/>
        <v>High Price</v>
      </c>
      <c r="H19" s="17" t="str">
        <f t="shared" si="2"/>
        <v>27</v>
      </c>
      <c r="I19" s="17" t="str">
        <f t="shared" si="3"/>
        <v>IT</v>
      </c>
      <c r="J19" s="14" t="str">
        <f t="shared" si="4"/>
        <v>JAN</v>
      </c>
      <c r="K19" s="17"/>
      <c r="L19" s="16"/>
    </row>
    <row r="20" ht="12.75" customHeight="1">
      <c r="A20" s="11" t="s">
        <v>85</v>
      </c>
      <c r="B20" s="11" t="s">
        <v>86</v>
      </c>
      <c r="C20" s="11" t="s">
        <v>87</v>
      </c>
      <c r="D20" s="11">
        <v>150.0</v>
      </c>
      <c r="E20" s="11">
        <v>15.0</v>
      </c>
      <c r="F20" s="12" t="s">
        <v>35</v>
      </c>
      <c r="G20" s="11" t="str">
        <f t="shared" si="1"/>
        <v>Standard Price</v>
      </c>
      <c r="H20" s="11" t="str">
        <f t="shared" si="2"/>
        <v>01</v>
      </c>
      <c r="I20" s="11" t="str">
        <f t="shared" si="3"/>
        <v>UK</v>
      </c>
      <c r="J20" s="14" t="str">
        <f t="shared" si="4"/>
        <v>MAR</v>
      </c>
      <c r="K20" s="17"/>
      <c r="L20" s="19" t="s">
        <v>88</v>
      </c>
      <c r="M20" s="25" t="s">
        <v>89</v>
      </c>
      <c r="N20" s="10"/>
    </row>
    <row r="21" ht="12.75" customHeight="1">
      <c r="A21" s="17" t="s">
        <v>90</v>
      </c>
      <c r="B21" s="17" t="s">
        <v>91</v>
      </c>
      <c r="C21" s="17" t="s">
        <v>92</v>
      </c>
      <c r="D21" s="17">
        <v>200.0</v>
      </c>
      <c r="E21" s="17">
        <v>10.0</v>
      </c>
      <c r="F21" s="18" t="s">
        <v>48</v>
      </c>
      <c r="G21" s="17" t="str">
        <f t="shared" si="1"/>
        <v>Standard Price</v>
      </c>
      <c r="H21" s="17" t="str">
        <f t="shared" si="2"/>
        <v>14</v>
      </c>
      <c r="I21" s="17" t="str">
        <f t="shared" si="3"/>
        <v>US</v>
      </c>
      <c r="J21" s="14" t="str">
        <f t="shared" si="4"/>
        <v>AUG</v>
      </c>
      <c r="K21" s="17"/>
      <c r="L21" s="16"/>
    </row>
    <row r="22" ht="12.75" customHeight="1">
      <c r="A22" s="11" t="s">
        <v>93</v>
      </c>
      <c r="B22" s="11" t="s">
        <v>94</v>
      </c>
      <c r="C22" s="11" t="s">
        <v>95</v>
      </c>
      <c r="D22" s="11">
        <v>700.0</v>
      </c>
      <c r="E22" s="11">
        <v>50.0</v>
      </c>
      <c r="F22" s="12" t="s">
        <v>31</v>
      </c>
      <c r="G22" s="11" t="str">
        <f t="shared" si="1"/>
        <v>High Price</v>
      </c>
      <c r="H22" s="11" t="str">
        <f t="shared" si="2"/>
        <v>14</v>
      </c>
      <c r="I22" s="11" t="str">
        <f t="shared" si="3"/>
        <v>RU</v>
      </c>
      <c r="J22" s="14" t="str">
        <f t="shared" si="4"/>
        <v>MAY</v>
      </c>
      <c r="K22" s="17"/>
      <c r="L22" s="28" t="s">
        <v>44</v>
      </c>
      <c r="M22" s="24">
        <f>MIN(D:D)</f>
        <v>30</v>
      </c>
      <c r="N22" s="21"/>
    </row>
    <row r="23" ht="12.75" customHeight="1">
      <c r="A23" s="17" t="s">
        <v>96</v>
      </c>
      <c r="B23" s="17" t="s">
        <v>97</v>
      </c>
      <c r="C23" s="17" t="s">
        <v>98</v>
      </c>
      <c r="D23" s="17">
        <v>80.0</v>
      </c>
      <c r="E23" s="17">
        <v>20.0</v>
      </c>
      <c r="F23" s="18" t="s">
        <v>40</v>
      </c>
      <c r="G23" s="17" t="str">
        <f t="shared" si="1"/>
        <v>Standard Price</v>
      </c>
      <c r="H23" s="17" t="str">
        <f t="shared" si="2"/>
        <v>09</v>
      </c>
      <c r="I23" s="17" t="str">
        <f t="shared" si="3"/>
        <v>CA</v>
      </c>
      <c r="J23" s="14" t="str">
        <f t="shared" si="4"/>
        <v>JAN</v>
      </c>
      <c r="K23" s="17"/>
      <c r="L23" s="16"/>
    </row>
    <row r="24" ht="12.75" customHeight="1">
      <c r="A24" s="11" t="s">
        <v>99</v>
      </c>
      <c r="B24" s="11" t="s">
        <v>100</v>
      </c>
      <c r="C24" s="11" t="s">
        <v>101</v>
      </c>
      <c r="D24" s="11">
        <v>150.0</v>
      </c>
      <c r="E24" s="11">
        <v>30.0</v>
      </c>
      <c r="F24" s="12" t="s">
        <v>31</v>
      </c>
      <c r="G24" s="11" t="str">
        <f t="shared" si="1"/>
        <v>Standard Price</v>
      </c>
      <c r="H24" s="11" t="str">
        <f t="shared" si="2"/>
        <v>19</v>
      </c>
      <c r="I24" s="11" t="str">
        <f t="shared" si="3"/>
        <v>BR</v>
      </c>
      <c r="J24" s="14" t="str">
        <f t="shared" si="4"/>
        <v>JUL</v>
      </c>
      <c r="K24" s="17"/>
      <c r="L24" s="29" t="s">
        <v>55</v>
      </c>
      <c r="M24" s="30" t="s">
        <v>7</v>
      </c>
      <c r="N24" s="31"/>
    </row>
    <row r="25" ht="12.75" customHeight="1">
      <c r="A25" s="17" t="s">
        <v>76</v>
      </c>
      <c r="B25" s="17" t="s">
        <v>77</v>
      </c>
      <c r="C25" s="17" t="s">
        <v>78</v>
      </c>
      <c r="D25" s="17">
        <v>50.0</v>
      </c>
      <c r="E25" s="17">
        <v>35.0</v>
      </c>
      <c r="F25" s="18" t="s">
        <v>79</v>
      </c>
      <c r="G25" s="17" t="str">
        <f t="shared" si="1"/>
        <v>Standard Price</v>
      </c>
      <c r="H25" s="17" t="str">
        <f t="shared" si="2"/>
        <v>21</v>
      </c>
      <c r="I25" s="17" t="str">
        <f t="shared" si="3"/>
        <v>CA</v>
      </c>
      <c r="J25" s="14" t="str">
        <f t="shared" si="4"/>
        <v>AUG</v>
      </c>
      <c r="K25" s="17"/>
      <c r="L25" s="32"/>
    </row>
    <row r="26" ht="12.75" customHeight="1">
      <c r="A26" s="11" t="s">
        <v>102</v>
      </c>
      <c r="B26" s="11" t="s">
        <v>42</v>
      </c>
      <c r="C26" s="11" t="s">
        <v>103</v>
      </c>
      <c r="D26" s="11">
        <v>800.0</v>
      </c>
      <c r="E26" s="11">
        <v>45.0</v>
      </c>
      <c r="F26" s="12" t="s">
        <v>31</v>
      </c>
      <c r="G26" s="11" t="str">
        <f t="shared" si="1"/>
        <v>High Price</v>
      </c>
      <c r="H26" s="11" t="str">
        <f t="shared" si="2"/>
        <v>29</v>
      </c>
      <c r="I26" s="11" t="str">
        <f t="shared" si="3"/>
        <v>CA</v>
      </c>
      <c r="J26" s="14" t="str">
        <f t="shared" si="4"/>
        <v>SEP</v>
      </c>
      <c r="K26" s="17"/>
      <c r="L26" s="33" t="s">
        <v>44</v>
      </c>
      <c r="M26" s="34">
        <f>MAX(D:D)</f>
        <v>1000</v>
      </c>
      <c r="N26" s="10"/>
    </row>
    <row r="27" ht="12.75" customHeight="1">
      <c r="A27" s="17" t="s">
        <v>104</v>
      </c>
      <c r="B27" s="17" t="s">
        <v>86</v>
      </c>
      <c r="C27" s="17" t="s">
        <v>105</v>
      </c>
      <c r="D27" s="17">
        <v>130.0</v>
      </c>
      <c r="E27" s="17">
        <v>25.0</v>
      </c>
      <c r="F27" s="18" t="s">
        <v>35</v>
      </c>
      <c r="G27" s="17" t="str">
        <f t="shared" si="1"/>
        <v>Standard Price</v>
      </c>
      <c r="H27" s="17" t="str">
        <f t="shared" si="2"/>
        <v>03</v>
      </c>
      <c r="I27" s="17" t="str">
        <f t="shared" si="3"/>
        <v>CA</v>
      </c>
      <c r="J27" s="14" t="str">
        <f t="shared" si="4"/>
        <v>JUN</v>
      </c>
      <c r="K27" s="17"/>
      <c r="L27" s="16"/>
    </row>
    <row r="28" ht="12.75" customHeight="1">
      <c r="A28" s="11" t="s">
        <v>106</v>
      </c>
      <c r="B28" s="11" t="s">
        <v>57</v>
      </c>
      <c r="C28" s="11" t="s">
        <v>107</v>
      </c>
      <c r="D28" s="11">
        <v>400.0</v>
      </c>
      <c r="E28" s="11">
        <v>40.0</v>
      </c>
      <c r="F28" s="12" t="s">
        <v>40</v>
      </c>
      <c r="G28" s="11" t="str">
        <f t="shared" si="1"/>
        <v>Standard Price</v>
      </c>
      <c r="H28" s="11" t="str">
        <f t="shared" si="2"/>
        <v>11</v>
      </c>
      <c r="I28" s="11" t="str">
        <f t="shared" si="3"/>
        <v>CA</v>
      </c>
      <c r="J28" s="14" t="str">
        <f t="shared" si="4"/>
        <v>JUL</v>
      </c>
      <c r="K28" s="17"/>
      <c r="L28" s="35" t="s">
        <v>108</v>
      </c>
      <c r="M28" s="9"/>
      <c r="N28" s="10"/>
    </row>
    <row r="29" ht="12.75" customHeight="1">
      <c r="A29" s="17" t="s">
        <v>74</v>
      </c>
      <c r="B29" s="17" t="s">
        <v>50</v>
      </c>
      <c r="C29" s="17" t="s">
        <v>75</v>
      </c>
      <c r="D29" s="17">
        <v>230.0</v>
      </c>
      <c r="E29" s="17">
        <v>20.0</v>
      </c>
      <c r="F29" s="18" t="s">
        <v>31</v>
      </c>
      <c r="G29" s="17" t="str">
        <f t="shared" si="1"/>
        <v>Standard Price</v>
      </c>
      <c r="H29" s="17" t="str">
        <f t="shared" si="2"/>
        <v>16</v>
      </c>
      <c r="I29" s="17" t="str">
        <f t="shared" si="3"/>
        <v>ES</v>
      </c>
      <c r="J29" s="14" t="str">
        <f t="shared" si="4"/>
        <v>APR</v>
      </c>
      <c r="K29" s="17"/>
      <c r="L29" s="32"/>
    </row>
    <row r="30" ht="12.75" customHeight="1">
      <c r="A30" s="11" t="s">
        <v>109</v>
      </c>
      <c r="B30" s="11" t="s">
        <v>110</v>
      </c>
      <c r="C30" s="11" t="s">
        <v>111</v>
      </c>
      <c r="D30" s="11">
        <v>60.0</v>
      </c>
      <c r="E30" s="11">
        <v>30.0</v>
      </c>
      <c r="F30" s="12" t="s">
        <v>35</v>
      </c>
      <c r="G30" s="11" t="str">
        <f t="shared" si="1"/>
        <v>Standard Price</v>
      </c>
      <c r="H30" s="11" t="str">
        <f t="shared" si="2"/>
        <v>07</v>
      </c>
      <c r="I30" s="11" t="str">
        <f t="shared" si="3"/>
        <v>CA</v>
      </c>
      <c r="J30" s="14" t="str">
        <f t="shared" si="4"/>
        <v>MAR</v>
      </c>
      <c r="K30" s="17"/>
      <c r="L30" s="36" t="s">
        <v>112</v>
      </c>
      <c r="M30" s="37" t="s">
        <v>9</v>
      </c>
      <c r="N30" s="38"/>
      <c r="W30" s="3"/>
    </row>
    <row r="31" ht="12.75" customHeight="1">
      <c r="A31" s="17" t="s">
        <v>113</v>
      </c>
      <c r="B31" s="17" t="s">
        <v>114</v>
      </c>
      <c r="C31" s="17" t="s">
        <v>115</v>
      </c>
      <c r="D31" s="17">
        <v>40.0</v>
      </c>
      <c r="E31" s="17">
        <v>10.0</v>
      </c>
      <c r="F31" s="18" t="s">
        <v>40</v>
      </c>
      <c r="G31" s="17" t="str">
        <f t="shared" si="1"/>
        <v>Standard Price</v>
      </c>
      <c r="H31" s="17" t="str">
        <f t="shared" si="2"/>
        <v>13</v>
      </c>
      <c r="I31" s="17" t="str">
        <f t="shared" si="3"/>
        <v>CA</v>
      </c>
      <c r="J31" s="14" t="str">
        <f t="shared" si="4"/>
        <v>APR</v>
      </c>
      <c r="K31" s="17"/>
      <c r="L31" s="39"/>
      <c r="M31" s="40"/>
      <c r="N31" s="41"/>
      <c r="O31" s="3"/>
      <c r="P31" s="3"/>
      <c r="Q31" s="3"/>
      <c r="R31" s="3"/>
      <c r="S31" s="3"/>
      <c r="T31" s="3"/>
      <c r="U31" s="3"/>
      <c r="V31" s="3"/>
      <c r="W31" s="3"/>
    </row>
    <row r="32" ht="12.75" customHeight="1">
      <c r="A32" s="11" t="s">
        <v>116</v>
      </c>
      <c r="B32" s="11" t="s">
        <v>100</v>
      </c>
      <c r="C32" s="11" t="s">
        <v>117</v>
      </c>
      <c r="D32" s="11">
        <v>130.0</v>
      </c>
      <c r="E32" s="11">
        <v>5.0</v>
      </c>
      <c r="F32" s="12" t="s">
        <v>31</v>
      </c>
      <c r="G32" s="11" t="str">
        <f t="shared" si="1"/>
        <v>Standard Price</v>
      </c>
      <c r="H32" s="11" t="str">
        <f t="shared" si="2"/>
        <v>24</v>
      </c>
      <c r="I32" s="11" t="str">
        <f t="shared" si="3"/>
        <v>CA</v>
      </c>
      <c r="J32" s="14" t="str">
        <f t="shared" si="4"/>
        <v>MAY</v>
      </c>
      <c r="K32" s="17"/>
      <c r="L32" s="39"/>
      <c r="M32" s="40"/>
      <c r="N32" s="41"/>
      <c r="O32" s="3"/>
      <c r="P32" s="3"/>
      <c r="Q32" s="3"/>
      <c r="R32" s="3"/>
      <c r="S32" s="3"/>
      <c r="T32" s="3"/>
      <c r="U32" s="3"/>
      <c r="V32" s="3"/>
      <c r="W32" s="3"/>
    </row>
    <row r="33" ht="12.75" customHeight="1">
      <c r="A33" s="17" t="s">
        <v>118</v>
      </c>
      <c r="B33" s="17" t="s">
        <v>119</v>
      </c>
      <c r="C33" s="17" t="s">
        <v>120</v>
      </c>
      <c r="D33" s="17">
        <v>50.0</v>
      </c>
      <c r="E33" s="17">
        <v>50.0</v>
      </c>
      <c r="F33" s="18" t="s">
        <v>35</v>
      </c>
      <c r="G33" s="17" t="str">
        <f t="shared" si="1"/>
        <v>Standard Price</v>
      </c>
      <c r="H33" s="17" t="str">
        <f t="shared" si="2"/>
        <v>02</v>
      </c>
      <c r="I33" s="17" t="str">
        <f t="shared" si="3"/>
        <v>CA</v>
      </c>
      <c r="J33" s="14" t="str">
        <f t="shared" si="4"/>
        <v>DEC</v>
      </c>
      <c r="K33" s="17"/>
      <c r="L33" s="39"/>
      <c r="M33" s="40"/>
      <c r="N33" s="41"/>
      <c r="O33" s="3"/>
      <c r="P33" s="3"/>
      <c r="Q33" s="3"/>
      <c r="R33" s="3"/>
      <c r="S33" s="3"/>
      <c r="T33" s="3"/>
      <c r="U33" s="3"/>
      <c r="V33" s="3"/>
      <c r="W33" s="3"/>
    </row>
    <row r="34" ht="12.75" customHeight="1">
      <c r="A34" s="11" t="s">
        <v>65</v>
      </c>
      <c r="B34" s="11" t="s">
        <v>29</v>
      </c>
      <c r="C34" s="11" t="s">
        <v>66</v>
      </c>
      <c r="D34" s="11">
        <v>950.0</v>
      </c>
      <c r="E34" s="11">
        <v>25.0</v>
      </c>
      <c r="F34" s="12" t="s">
        <v>31</v>
      </c>
      <c r="G34" s="11" t="str">
        <f t="shared" si="1"/>
        <v>High Price</v>
      </c>
      <c r="H34" s="11" t="str">
        <f t="shared" si="2"/>
        <v>17</v>
      </c>
      <c r="I34" s="11" t="str">
        <f t="shared" si="3"/>
        <v>IN</v>
      </c>
      <c r="J34" s="14" t="str">
        <f t="shared" si="4"/>
        <v>JUN</v>
      </c>
      <c r="K34" s="17"/>
      <c r="L34" s="42"/>
      <c r="M34" s="43"/>
      <c r="N34" s="44"/>
      <c r="O34" s="3"/>
      <c r="P34" s="3"/>
      <c r="Q34" s="3"/>
      <c r="R34" s="3"/>
      <c r="S34" s="3"/>
      <c r="T34" s="3"/>
      <c r="U34" s="3"/>
      <c r="V34" s="3"/>
      <c r="W34" s="3"/>
    </row>
    <row r="35" ht="12.75" customHeight="1">
      <c r="A35" s="17" t="s">
        <v>121</v>
      </c>
      <c r="B35" s="17" t="s">
        <v>122</v>
      </c>
      <c r="C35" s="17" t="s">
        <v>123</v>
      </c>
      <c r="D35" s="17">
        <v>100.0</v>
      </c>
      <c r="E35" s="17">
        <v>20.0</v>
      </c>
      <c r="F35" s="18" t="s">
        <v>79</v>
      </c>
      <c r="G35" s="17" t="str">
        <f t="shared" si="1"/>
        <v>Standard Price</v>
      </c>
      <c r="H35" s="17" t="str">
        <f t="shared" si="2"/>
        <v>09</v>
      </c>
      <c r="I35" s="17" t="str">
        <f t="shared" si="3"/>
        <v>FR</v>
      </c>
      <c r="J35" s="14" t="str">
        <f t="shared" si="4"/>
        <v>JUL</v>
      </c>
      <c r="K35" s="45"/>
      <c r="L35" s="46"/>
      <c r="M35" s="46"/>
      <c r="N35" s="46"/>
    </row>
    <row r="36" ht="15.75" customHeight="1">
      <c r="K36" s="47" t="s">
        <v>44</v>
      </c>
      <c r="L36" s="48" t="s">
        <v>124</v>
      </c>
      <c r="M36" s="21"/>
    </row>
    <row r="37" ht="15.75" customHeight="1">
      <c r="A37" s="49"/>
      <c r="B37" s="50" t="s">
        <v>10</v>
      </c>
      <c r="C37" s="51"/>
      <c r="D37" s="51"/>
      <c r="E37" s="52"/>
    </row>
    <row r="38" ht="15.75" customHeight="1">
      <c r="A38" s="53"/>
      <c r="B38" s="54"/>
      <c r="C38" s="55"/>
      <c r="D38" s="55"/>
      <c r="E38" s="56"/>
    </row>
    <row r="39" ht="15.75" customHeight="1">
      <c r="A39" s="49"/>
      <c r="B39" s="57"/>
      <c r="C39" s="57"/>
      <c r="D39" s="57"/>
      <c r="E39" s="57"/>
    </row>
    <row r="40" ht="15.75" customHeight="1">
      <c r="A40" s="58" t="s">
        <v>88</v>
      </c>
      <c r="B40" s="59" t="s">
        <v>11</v>
      </c>
      <c r="C40" s="27"/>
      <c r="D40" s="27"/>
      <c r="E40" s="27"/>
      <c r="F40" s="27"/>
      <c r="G40" s="21"/>
    </row>
    <row r="41" ht="15.75" customHeight="1"/>
    <row r="42" ht="15.75" customHeight="1">
      <c r="A42" s="60" t="s">
        <v>44</v>
      </c>
      <c r="B42" s="61">
        <f>SUMIF(F2:F35,"Electronics",D2:D35)</f>
        <v>8050</v>
      </c>
      <c r="C42" s="27"/>
      <c r="D42" s="27"/>
      <c r="E42" s="21"/>
    </row>
    <row r="43" ht="15.75" customHeight="1"/>
    <row r="44" ht="15.75" customHeight="1">
      <c r="A44" s="58" t="s">
        <v>55</v>
      </c>
      <c r="B44" s="62" t="s">
        <v>12</v>
      </c>
      <c r="C44" s="9"/>
      <c r="D44" s="9"/>
      <c r="E44" s="9"/>
      <c r="F44" s="9"/>
      <c r="G44" s="10"/>
    </row>
    <row r="45" ht="15.75" customHeight="1"/>
    <row r="46" ht="15.75" customHeight="1">
      <c r="A46" s="47" t="s">
        <v>44</v>
      </c>
      <c r="B46" s="61">
        <f>COUNTIF(D2:D35,"&lt;100")</f>
        <v>11</v>
      </c>
      <c r="C46" s="27"/>
      <c r="D46" s="27"/>
      <c r="E46" s="27"/>
      <c r="F46" s="27"/>
      <c r="G46" s="21"/>
    </row>
    <row r="47" ht="15.75" customHeight="1"/>
    <row r="48" ht="15.75" customHeight="1">
      <c r="B48" s="63" t="s">
        <v>13</v>
      </c>
      <c r="C48" s="51"/>
      <c r="D48" s="51"/>
      <c r="E48" s="52"/>
    </row>
    <row r="49" ht="15.75" customHeight="1">
      <c r="B49" s="54"/>
      <c r="C49" s="55"/>
      <c r="D49" s="55"/>
      <c r="E49" s="56"/>
    </row>
    <row r="50" ht="15.75" customHeight="1"/>
    <row r="51" ht="15.75" customHeight="1">
      <c r="A51" s="58" t="s">
        <v>88</v>
      </c>
      <c r="B51" s="62" t="s">
        <v>14</v>
      </c>
      <c r="C51" s="9"/>
      <c r="D51" s="9"/>
      <c r="E51" s="9"/>
      <c r="F51" s="9"/>
      <c r="G51" s="10"/>
    </row>
    <row r="52" ht="15.75" customHeight="1"/>
    <row r="53" ht="15.75" customHeight="1">
      <c r="A53" s="47" t="s">
        <v>44</v>
      </c>
      <c r="B53" s="64" t="s">
        <v>125</v>
      </c>
      <c r="C53" s="9"/>
      <c r="D53" s="9"/>
      <c r="E53" s="9"/>
      <c r="F53" s="9"/>
      <c r="G53" s="10"/>
    </row>
    <row r="54" ht="15.75" customHeight="1"/>
    <row r="55" ht="15.75" customHeight="1">
      <c r="A55" s="65" t="s">
        <v>55</v>
      </c>
      <c r="B55" s="66" t="s">
        <v>15</v>
      </c>
      <c r="C55" s="51"/>
      <c r="D55" s="51"/>
      <c r="E55" s="51"/>
      <c r="F55" s="51"/>
      <c r="G55" s="52"/>
      <c r="H55" s="67"/>
      <c r="I55" s="67"/>
      <c r="J55" s="67"/>
    </row>
    <row r="56" ht="15.75" customHeight="1">
      <c r="A56" s="68"/>
      <c r="B56" s="54"/>
      <c r="C56" s="55"/>
      <c r="D56" s="55"/>
      <c r="E56" s="55"/>
      <c r="F56" s="55"/>
      <c r="G56" s="56"/>
    </row>
    <row r="57" ht="15.75" customHeight="1">
      <c r="B57" s="69"/>
    </row>
    <row r="58" ht="15.75" customHeight="1">
      <c r="B58" s="70" t="s">
        <v>126</v>
      </c>
      <c r="C58" s="51"/>
      <c r="D58" s="51"/>
      <c r="E58" s="52"/>
    </row>
    <row r="59" ht="15.75" customHeight="1">
      <c r="B59" s="54"/>
      <c r="C59" s="55"/>
      <c r="D59" s="55"/>
      <c r="E59" s="56"/>
    </row>
    <row r="60" ht="15.75" customHeight="1"/>
    <row r="61" ht="15.75" customHeight="1">
      <c r="A61" s="71" t="s">
        <v>67</v>
      </c>
      <c r="B61" s="72" t="s">
        <v>16</v>
      </c>
      <c r="C61" s="51"/>
      <c r="D61" s="51"/>
      <c r="E61" s="51"/>
      <c r="F61" s="51"/>
      <c r="G61" s="52"/>
    </row>
    <row r="62" ht="15.75" customHeight="1">
      <c r="A62" s="68"/>
      <c r="B62" s="54"/>
      <c r="C62" s="55"/>
      <c r="D62" s="55"/>
      <c r="E62" s="55"/>
      <c r="F62" s="55"/>
      <c r="G62" s="56"/>
    </row>
    <row r="63" ht="15.75" customHeight="1"/>
    <row r="64" ht="15.75" customHeight="1">
      <c r="B64" s="70" t="s">
        <v>127</v>
      </c>
      <c r="C64" s="51"/>
      <c r="D64" s="51"/>
      <c r="E64" s="52"/>
    </row>
    <row r="65" ht="15.75" customHeight="1">
      <c r="B65" s="54"/>
      <c r="C65" s="55"/>
      <c r="D65" s="55"/>
      <c r="E65" s="56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A7CBC83-85B1-4872-AC4A-940864754002}" filter="1" showAutoFilter="1">
      <autoFilter ref="$A$1:$K$35"/>
      <extLst>
        <ext uri="GoogleSheetsCustomDataVersion1">
          <go:sheetsCustomData xmlns:go="http://customooxmlschemas.google.com/" filterViewId="776245301"/>
        </ext>
      </extLst>
    </customSheetView>
  </customSheetViews>
  <mergeCells count="29">
    <mergeCell ref="L1:N1"/>
    <mergeCell ref="M3:N3"/>
    <mergeCell ref="M5:N5"/>
    <mergeCell ref="M8:N8"/>
    <mergeCell ref="M12:N12"/>
    <mergeCell ref="L18:N18"/>
    <mergeCell ref="M20:N20"/>
    <mergeCell ref="M22:N22"/>
    <mergeCell ref="M24:N24"/>
    <mergeCell ref="M26:N26"/>
    <mergeCell ref="L28:N28"/>
    <mergeCell ref="L30:L34"/>
    <mergeCell ref="M30:N34"/>
    <mergeCell ref="L36:M36"/>
    <mergeCell ref="B53:G53"/>
    <mergeCell ref="A55:A56"/>
    <mergeCell ref="B55:G56"/>
    <mergeCell ref="B57:G57"/>
    <mergeCell ref="B58:E59"/>
    <mergeCell ref="A61:A62"/>
    <mergeCell ref="B61:G62"/>
    <mergeCell ref="B64:E65"/>
    <mergeCell ref="B37:E38"/>
    <mergeCell ref="B40:G40"/>
    <mergeCell ref="B42:E42"/>
    <mergeCell ref="B44:G44"/>
    <mergeCell ref="B46:G46"/>
    <mergeCell ref="B48:E49"/>
    <mergeCell ref="B51:G51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7.38"/>
    <col customWidth="1" min="3" max="6" width="12.63"/>
  </cols>
  <sheetData>
    <row r="1" ht="15.75" customHeight="1">
      <c r="A1" s="1" t="s">
        <v>0</v>
      </c>
    </row>
    <row r="2" ht="15.75" customHeight="1">
      <c r="A2" s="1"/>
    </row>
    <row r="3" ht="15.75" customHeight="1">
      <c r="B3" s="2" t="s">
        <v>1</v>
      </c>
    </row>
    <row r="4" ht="15.75" customHeight="1">
      <c r="B4" s="2"/>
      <c r="C4" s="3" t="s">
        <v>2</v>
      </c>
      <c r="D4" s="2"/>
    </row>
    <row r="5" ht="15.75" customHeight="1">
      <c r="B5" s="2"/>
      <c r="C5" s="3" t="s">
        <v>3</v>
      </c>
      <c r="D5" s="3"/>
      <c r="E5" s="3"/>
      <c r="F5" s="3"/>
    </row>
    <row r="6" ht="15.75" customHeight="1">
      <c r="B6" s="3"/>
      <c r="C6" s="3" t="s">
        <v>4</v>
      </c>
      <c r="D6" s="3"/>
      <c r="E6" s="3"/>
      <c r="F6" s="3"/>
    </row>
    <row r="7" ht="15.75" customHeight="1">
      <c r="B7" s="3"/>
      <c r="C7" s="3"/>
      <c r="D7" s="3"/>
      <c r="E7" s="3"/>
      <c r="F7" s="3"/>
    </row>
    <row r="8" ht="15.75" customHeight="1">
      <c r="B8" s="2" t="s">
        <v>5</v>
      </c>
      <c r="C8" s="4"/>
    </row>
    <row r="9" ht="15.75" customHeight="1">
      <c r="B9" s="4"/>
      <c r="C9" s="3" t="s">
        <v>6</v>
      </c>
      <c r="D9" s="2"/>
    </row>
    <row r="10" ht="15.75" customHeight="1">
      <c r="B10" s="4"/>
      <c r="C10" s="3" t="s">
        <v>7</v>
      </c>
    </row>
    <row r="11" ht="15.75" customHeight="1">
      <c r="C11" s="3"/>
    </row>
    <row r="12" ht="15.75" customHeight="1">
      <c r="B12" s="2" t="s">
        <v>8</v>
      </c>
      <c r="C12" s="4"/>
    </row>
    <row r="13" ht="15.75" customHeight="1">
      <c r="A13" s="2"/>
      <c r="B13" s="4"/>
      <c r="C13" s="3" t="s">
        <v>9</v>
      </c>
    </row>
    <row r="14" ht="15.75" customHeight="1">
      <c r="B14" s="5"/>
    </row>
    <row r="15" ht="15.75" customHeight="1">
      <c r="B15" s="2" t="s">
        <v>10</v>
      </c>
    </row>
    <row r="16" ht="15.75" customHeight="1">
      <c r="C16" s="3" t="s">
        <v>11</v>
      </c>
    </row>
    <row r="17" ht="15.75" customHeight="1">
      <c r="C17" s="3" t="s">
        <v>12</v>
      </c>
    </row>
    <row r="18" ht="15.75" customHeight="1">
      <c r="B18" s="5"/>
    </row>
    <row r="19" ht="15.75" customHeight="1">
      <c r="B19" s="2" t="s">
        <v>13</v>
      </c>
    </row>
    <row r="20" ht="15.75" customHeight="1">
      <c r="C20" s="3" t="s">
        <v>14</v>
      </c>
    </row>
    <row r="21" ht="15.75" customHeight="1">
      <c r="C21" s="3" t="s">
        <v>15</v>
      </c>
    </row>
    <row r="22" ht="15.75" customHeight="1">
      <c r="C22" s="3" t="s">
        <v>16</v>
      </c>
    </row>
    <row r="23" ht="15.75" customHeight="1">
      <c r="B23" s="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2026-09-18T08:57:57Z</dcterms:created>
  <dc:creator>xx4236</dc:creator>
</cp:coreProperties>
</file>